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1.xml" ContentType="application/vnd.openxmlformats-officedocument.drawingml.chart+xml"/>
  <Override PartName="/xl/drawings/drawing6.xml" ContentType="application/vnd.openxmlformats-officedocument.drawing+xml"/>
  <Override PartName="/xl/charts/chart2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6.xml" ContentType="application/vnd.openxmlformats-officedocument.drawingml.chart+xml"/>
  <Override PartName="/xl/drawings/drawing7.xml" ContentType="application/vnd.openxmlformats-officedocument.drawing+xml"/>
  <Override PartName="/xl/charts/chart27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8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9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0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3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8.xml" ContentType="application/vnd.openxmlformats-officedocument.drawing+xml"/>
  <Override PartName="/xl/charts/chart34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5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6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7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9.xml" ContentType="application/vnd.openxmlformats-officedocument.drawing+xml"/>
  <Override PartName="/xl/charts/chart4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4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4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4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44.xml" ContentType="application/vnd.openxmlformats-officedocument.drawingml.chart+xml"/>
  <Override PartName="/xl/drawings/drawing10.xml" ContentType="application/vnd.openxmlformats-officedocument.drawing+xml"/>
  <Override PartName="/xl/charts/chart4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4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4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4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49.xml" ContentType="application/vnd.openxmlformats-officedocument.drawingml.chart+xml"/>
  <Override PartName="/xl/drawings/drawing11.xml" ContentType="application/vnd.openxmlformats-officedocument.drawing+xml"/>
  <Override PartName="/xl/charts/chart50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51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52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53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54.xml" ContentType="application/vnd.openxmlformats-officedocument.drawingml.chart+xml"/>
  <Override PartName="/xl/drawings/drawing12.xml" ContentType="application/vnd.openxmlformats-officedocument.drawing+xml"/>
  <Override PartName="/xl/charts/chart55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56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57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58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59.xml" ContentType="application/vnd.openxmlformats-officedocument.drawingml.chart+xml"/>
  <Override PartName="/xl/drawings/drawing13.xml" ContentType="application/vnd.openxmlformats-officedocument.drawing+xml"/>
  <Override PartName="/xl/charts/chart60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61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62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63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6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tenzooo/Desktop/サンプル/"/>
    </mc:Choice>
  </mc:AlternateContent>
  <xr:revisionPtr revIDLastSave="0" documentId="8_{267D54B2-FF58-A549-9557-F7395509F69C}" xr6:coauthVersionLast="47" xr6:coauthVersionMax="47" xr10:uidLastSave="{00000000-0000-0000-0000-000000000000}"/>
  <bookViews>
    <workbookView xWindow="0" yWindow="680" windowWidth="29400" windowHeight="17560" firstSheet="1" activeTab="1" xr2:uid="{9B05138F-707E-1F4A-911B-1432DD4A6958}"/>
  </bookViews>
  <sheets>
    <sheet name="周東いる班(反転増幅回路)" sheetId="2" r:id="rId1"/>
    <sheet name="周東いる班(非反転増幅回路)" sheetId="4" r:id="rId2"/>
    <sheet name="周東いる班(ボルテージフォロワ) " sheetId="19" r:id="rId3"/>
    <sheet name="周東いる班(ボルテージフォロワ100kΩ)" sheetId="5" r:id="rId4"/>
    <sheet name="周東いる班(加算回路)" sheetId="6" r:id="rId5"/>
    <sheet name="周東いる班(減算回路)" sheetId="17" r:id="rId6"/>
    <sheet name="いない班(反転増幅回路)" sheetId="3" r:id="rId7"/>
    <sheet name="いない班(非反転増幅回路)" sheetId="8" r:id="rId8"/>
    <sheet name="いない班(ボルテージフォロワ)" sheetId="9" r:id="rId9"/>
    <sheet name="いない班(ボルテージフォロワ) (100kΩ直列)" sheetId="14" r:id="rId10"/>
    <sheet name="いない班(加算回路)" sheetId="12" r:id="rId11"/>
    <sheet name="　いない班(減算回路) " sheetId="16" r:id="rId12"/>
    <sheet name="Sheet1" sheetId="20" r:id="rId13"/>
    <sheet name="コピー元" sheetId="1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17" l="1"/>
  <c r="Q15" i="17"/>
  <c r="S23" i="17"/>
  <c r="S22" i="17"/>
  <c r="R24" i="17"/>
  <c r="R23" i="17"/>
  <c r="R22" i="17"/>
  <c r="Q24" i="17"/>
  <c r="Q23" i="17"/>
  <c r="Q22" i="17"/>
  <c r="P24" i="17"/>
  <c r="P23" i="17"/>
  <c r="P22" i="17"/>
  <c r="S21" i="17"/>
  <c r="R21" i="17"/>
  <c r="R20" i="17"/>
  <c r="P20" i="17"/>
  <c r="T15" i="17"/>
  <c r="G17" i="17"/>
  <c r="G15" i="17"/>
  <c r="L20" i="17"/>
  <c r="J20" i="17"/>
  <c r="G17" i="6"/>
  <c r="K42" i="6" s="1"/>
  <c r="N41" i="6"/>
  <c r="M40" i="6"/>
  <c r="H15" i="6"/>
  <c r="K40" i="6" s="1"/>
  <c r="T15" i="6"/>
  <c r="N40" i="6" s="1"/>
  <c r="N42" i="6" s="1"/>
  <c r="J15" i="6"/>
  <c r="L40" i="6" s="1"/>
  <c r="AA8" i="5"/>
  <c r="AA9" i="5"/>
  <c r="AA10" i="5"/>
  <c r="AA11" i="5"/>
  <c r="AA12" i="5"/>
  <c r="AA7" i="5"/>
  <c r="Z8" i="5"/>
  <c r="Z9" i="5"/>
  <c r="Z10" i="5"/>
  <c r="Z11" i="5"/>
  <c r="Z12" i="5"/>
  <c r="Z7" i="5"/>
  <c r="AA4" i="5"/>
  <c r="AA5" i="5"/>
  <c r="AA6" i="5"/>
  <c r="AA13" i="5"/>
  <c r="AA14" i="5"/>
  <c r="AA15" i="5"/>
  <c r="AA16" i="5"/>
  <c r="AA17" i="5"/>
  <c r="AA18" i="5"/>
  <c r="AA19" i="5"/>
  <c r="AA20" i="5"/>
  <c r="AA21" i="5"/>
  <c r="AA22" i="5"/>
  <c r="AA23" i="5"/>
  <c r="AA3" i="5"/>
  <c r="Z4" i="5"/>
  <c r="Z5" i="5"/>
  <c r="Z6" i="5"/>
  <c r="Z13" i="5"/>
  <c r="Z14" i="5"/>
  <c r="Z15" i="5"/>
  <c r="Z16" i="5"/>
  <c r="Z17" i="5"/>
  <c r="Z18" i="5"/>
  <c r="Z19" i="5"/>
  <c r="Z20" i="5"/>
  <c r="Z21" i="5"/>
  <c r="Z22" i="5"/>
  <c r="Z23" i="5"/>
  <c r="Z3" i="5"/>
  <c r="I15" i="12"/>
  <c r="D14" i="16"/>
  <c r="D15" i="16"/>
  <c r="D16" i="16"/>
  <c r="K15" i="14"/>
  <c r="X2" i="19"/>
  <c r="AF5" i="19"/>
  <c r="AF6" i="19"/>
  <c r="AF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4" i="19"/>
  <c r="W3" i="19"/>
  <c r="W4" i="19"/>
  <c r="W5" i="19"/>
  <c r="W6" i="19"/>
  <c r="W7" i="19"/>
  <c r="W8" i="19"/>
  <c r="W9" i="19"/>
  <c r="W10" i="19"/>
  <c r="W11" i="19"/>
  <c r="W12" i="19"/>
  <c r="W13" i="19"/>
  <c r="W14" i="19"/>
  <c r="W15" i="19"/>
  <c r="W16" i="19"/>
  <c r="W17" i="19"/>
  <c r="W18" i="19"/>
  <c r="W19" i="19"/>
  <c r="W20" i="19"/>
  <c r="W21" i="19"/>
  <c r="W22" i="19"/>
  <c r="W2" i="19"/>
  <c r="D2" i="3"/>
  <c r="D3" i="3"/>
  <c r="D4" i="3"/>
  <c r="D5" i="3"/>
  <c r="D6" i="3"/>
  <c r="D7" i="3"/>
  <c r="D8" i="3"/>
  <c r="D9" i="3"/>
  <c r="D10" i="3"/>
  <c r="D11" i="3"/>
  <c r="D12" i="3"/>
  <c r="AS7" i="4"/>
  <c r="AR7" i="4"/>
  <c r="AS6" i="4"/>
  <c r="AR6" i="4"/>
  <c r="AS5" i="4"/>
  <c r="AR5" i="4"/>
  <c r="AS4" i="4"/>
  <c r="AR4" i="4"/>
  <c r="AN15" i="4"/>
  <c r="AL15" i="4"/>
  <c r="AD15" i="4"/>
  <c r="AB15" i="4"/>
  <c r="AL17" i="4"/>
  <c r="AB17" i="4"/>
  <c r="U15" i="4"/>
  <c r="S15" i="4"/>
  <c r="S17" i="4" s="1"/>
  <c r="I15" i="4"/>
  <c r="G15" i="4"/>
  <c r="G17" i="4" s="1"/>
  <c r="AJ3" i="4"/>
  <c r="AI28" i="4"/>
  <c r="AJ28" i="4" s="1"/>
  <c r="AI27" i="4"/>
  <c r="AJ27" i="4" s="1"/>
  <c r="AI26" i="4"/>
  <c r="AJ26" i="4" s="1"/>
  <c r="AI25" i="4"/>
  <c r="AJ25" i="4" s="1"/>
  <c r="AI24" i="4"/>
  <c r="AJ24" i="4" s="1"/>
  <c r="AI23" i="4"/>
  <c r="AJ23" i="4" s="1"/>
  <c r="AI22" i="4"/>
  <c r="AJ22" i="4" s="1"/>
  <c r="AI21" i="4"/>
  <c r="AJ21" i="4" s="1"/>
  <c r="AI20" i="4"/>
  <c r="AJ20" i="4" s="1"/>
  <c r="AI19" i="4"/>
  <c r="AJ19" i="4" s="1"/>
  <c r="AI18" i="4"/>
  <c r="AJ18" i="4" s="1"/>
  <c r="AI17" i="4"/>
  <c r="AJ17" i="4" s="1"/>
  <c r="AI16" i="4"/>
  <c r="AJ16" i="4" s="1"/>
  <c r="AI15" i="4"/>
  <c r="AJ14" i="4"/>
  <c r="AI14" i="4"/>
  <c r="AJ13" i="4"/>
  <c r="AI13" i="4"/>
  <c r="AJ12" i="4"/>
  <c r="AI12" i="4"/>
  <c r="AJ11" i="4"/>
  <c r="AI11" i="4"/>
  <c r="AI10" i="4"/>
  <c r="AJ10" i="4" s="1"/>
  <c r="AJ9" i="4"/>
  <c r="AI9" i="4"/>
  <c r="AJ8" i="4"/>
  <c r="AI8" i="4"/>
  <c r="AJ7" i="4"/>
  <c r="AI7" i="4"/>
  <c r="AI6" i="4"/>
  <c r="AJ6" i="4" s="1"/>
  <c r="AJ5" i="4"/>
  <c r="AI5" i="4"/>
  <c r="AJ4" i="4"/>
  <c r="AI4" i="4"/>
  <c r="AI3" i="4"/>
  <c r="AI2" i="4"/>
  <c r="AJ2" i="4" s="1"/>
  <c r="Z3" i="4"/>
  <c r="Z4" i="4"/>
  <c r="Z5" i="4"/>
  <c r="Z6" i="4"/>
  <c r="Z7" i="4"/>
  <c r="Z8" i="4"/>
  <c r="Z9" i="4"/>
  <c r="Z10" i="4"/>
  <c r="Z11" i="4"/>
  <c r="Z12" i="4"/>
  <c r="Z13" i="4"/>
  <c r="Z14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" i="4"/>
  <c r="Z2" i="4" s="1"/>
  <c r="P2" i="4"/>
  <c r="P20" i="4"/>
  <c r="Q20" i="4" s="1"/>
  <c r="P19" i="4"/>
  <c r="Q19" i="4" s="1"/>
  <c r="P18" i="4"/>
  <c r="Q18" i="4" s="1"/>
  <c r="Q17" i="4"/>
  <c r="P17" i="4"/>
  <c r="P16" i="4"/>
  <c r="Q16" i="4" s="1"/>
  <c r="P15" i="4"/>
  <c r="Q15" i="4" s="1"/>
  <c r="P14" i="4"/>
  <c r="Q14" i="4" s="1"/>
  <c r="Q13" i="4"/>
  <c r="P13" i="4"/>
  <c r="P12" i="4"/>
  <c r="Q12" i="4" s="1"/>
  <c r="P11" i="4"/>
  <c r="P10" i="4"/>
  <c r="Q10" i="4" s="1"/>
  <c r="P9" i="4"/>
  <c r="Q9" i="4" s="1"/>
  <c r="Q8" i="4"/>
  <c r="P8" i="4"/>
  <c r="P7" i="4"/>
  <c r="Q7" i="4" s="1"/>
  <c r="P6" i="4"/>
  <c r="Q6" i="4" s="1"/>
  <c r="P5" i="4"/>
  <c r="Q5" i="4" s="1"/>
  <c r="Q4" i="4"/>
  <c r="P4" i="4"/>
  <c r="Q3" i="4"/>
  <c r="P3" i="4"/>
  <c r="Q2" i="4"/>
  <c r="E3" i="4"/>
  <c r="E4" i="4"/>
  <c r="E5" i="4"/>
  <c r="E6" i="4"/>
  <c r="E7" i="4"/>
  <c r="E8" i="4"/>
  <c r="E9" i="4"/>
  <c r="E10" i="4"/>
  <c r="E12" i="4"/>
  <c r="E13" i="4"/>
  <c r="E14" i="4"/>
  <c r="E15" i="4"/>
  <c r="E16" i="4"/>
  <c r="E17" i="4"/>
  <c r="E18" i="4"/>
  <c r="E19" i="4"/>
  <c r="E20" i="4"/>
  <c r="E2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3" i="8"/>
  <c r="E3" i="8"/>
  <c r="D4" i="8"/>
  <c r="E4" i="8"/>
  <c r="D5" i="8"/>
  <c r="E5" i="8"/>
  <c r="D6" i="8"/>
  <c r="E6" i="8"/>
  <c r="D7" i="8"/>
  <c r="E7" i="8"/>
  <c r="D8" i="8"/>
  <c r="E8" i="8"/>
  <c r="D9" i="8"/>
  <c r="E9" i="8"/>
  <c r="D10" i="8"/>
  <c r="E10" i="8"/>
  <c r="D11" i="8"/>
  <c r="E11" i="8"/>
  <c r="D12" i="8"/>
  <c r="E12" i="8"/>
  <c r="D13" i="8"/>
  <c r="E13" i="8"/>
  <c r="D14" i="8"/>
  <c r="E14" i="8"/>
  <c r="D15" i="8"/>
  <c r="E15" i="8"/>
  <c r="D16" i="8"/>
  <c r="E16" i="8"/>
  <c r="D17" i="8"/>
  <c r="E17" i="8"/>
  <c r="D18" i="8"/>
  <c r="E18" i="8"/>
  <c r="D19" i="8"/>
  <c r="E19" i="8"/>
  <c r="D20" i="8"/>
  <c r="E20" i="8"/>
  <c r="D21" i="8"/>
  <c r="E21" i="8"/>
  <c r="D22" i="8"/>
  <c r="E22" i="8"/>
  <c r="D23" i="8"/>
  <c r="E23" i="8"/>
  <c r="D24" i="8"/>
  <c r="E24" i="8"/>
  <c r="D25" i="8"/>
  <c r="E25" i="8"/>
  <c r="D26" i="8"/>
  <c r="E26" i="8"/>
  <c r="E2" i="8"/>
  <c r="D2" i="8"/>
  <c r="F3" i="2"/>
  <c r="D2" i="2"/>
  <c r="G15" i="2"/>
  <c r="D5" i="2"/>
  <c r="AO2" i="5"/>
  <c r="AP2" i="5"/>
  <c r="AO22" i="5"/>
  <c r="AO11" i="5"/>
  <c r="AO3" i="5"/>
  <c r="AO4" i="5"/>
  <c r="AO5" i="5"/>
  <c r="AO6" i="5"/>
  <c r="AO7" i="5"/>
  <c r="AO8" i="5"/>
  <c r="AO9" i="5"/>
  <c r="AO10" i="5"/>
  <c r="AO12" i="5"/>
  <c r="AO13" i="5"/>
  <c r="AO14" i="5"/>
  <c r="AO15" i="5"/>
  <c r="AO16" i="5"/>
  <c r="AO17" i="5"/>
  <c r="AO18" i="5"/>
  <c r="AO19" i="5"/>
  <c r="AO20" i="5"/>
  <c r="AO21" i="5"/>
  <c r="AQ2" i="9"/>
  <c r="AS3" i="14"/>
  <c r="AS4" i="14"/>
  <c r="AS5" i="14"/>
  <c r="AS6" i="14"/>
  <c r="AS7" i="14"/>
  <c r="AS8" i="14"/>
  <c r="AS9" i="14"/>
  <c r="AS10" i="14"/>
  <c r="AS11" i="14"/>
  <c r="AS12" i="14"/>
  <c r="AS13" i="14"/>
  <c r="AS14" i="14"/>
  <c r="AS15" i="14"/>
  <c r="AS16" i="14"/>
  <c r="AS17" i="14"/>
  <c r="AS18" i="14"/>
  <c r="AS19" i="14"/>
  <c r="AS20" i="14"/>
  <c r="AS21" i="14"/>
  <c r="AS22" i="14"/>
  <c r="AS2" i="14"/>
  <c r="AP3" i="9"/>
  <c r="AP4" i="9"/>
  <c r="AP5" i="9"/>
  <c r="AP6" i="9"/>
  <c r="AP7" i="9"/>
  <c r="AP8" i="9"/>
  <c r="AP9" i="9"/>
  <c r="AP10" i="9"/>
  <c r="AP11" i="9"/>
  <c r="AP12" i="9"/>
  <c r="AP13" i="9"/>
  <c r="AP14" i="9"/>
  <c r="AP15" i="9"/>
  <c r="AP16" i="9"/>
  <c r="AP17" i="9"/>
  <c r="AP18" i="9"/>
  <c r="AP19" i="9"/>
  <c r="AP20" i="9"/>
  <c r="AP21" i="9"/>
  <c r="AP22" i="9"/>
  <c r="AP2" i="9"/>
  <c r="T15" i="16"/>
  <c r="U15" i="12"/>
  <c r="R15" i="12"/>
  <c r="H15" i="12"/>
  <c r="D2" i="19"/>
  <c r="D3" i="19"/>
  <c r="D4" i="19"/>
  <c r="D5" i="19"/>
  <c r="D6" i="19"/>
  <c r="D7" i="19"/>
  <c r="D8" i="19"/>
  <c r="D9" i="19"/>
  <c r="D10" i="19"/>
  <c r="D11" i="19"/>
  <c r="D12" i="19"/>
  <c r="D13" i="19"/>
  <c r="D14" i="19"/>
  <c r="D15" i="19"/>
  <c r="G15" i="19"/>
  <c r="G17" i="19" s="1"/>
  <c r="I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2" i="17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I15" i="17"/>
  <c r="J15" i="17"/>
  <c r="Q17" i="17"/>
  <c r="S17" i="17"/>
  <c r="S24" i="17" s="1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U15" i="16"/>
  <c r="D2" i="16"/>
  <c r="D3" i="16"/>
  <c r="D4" i="16"/>
  <c r="D5" i="16"/>
  <c r="D6" i="16"/>
  <c r="D7" i="16"/>
  <c r="D8" i="16"/>
  <c r="D9" i="16"/>
  <c r="D10" i="16"/>
  <c r="D11" i="16"/>
  <c r="D12" i="16"/>
  <c r="D13" i="16"/>
  <c r="G15" i="16"/>
  <c r="I15" i="16" s="1"/>
  <c r="J15" i="16"/>
  <c r="K15" i="16"/>
  <c r="Q15" i="16"/>
  <c r="S15" i="16" s="1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I15" i="14"/>
  <c r="G15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2" i="14"/>
  <c r="D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G15" i="12"/>
  <c r="J15" i="12"/>
  <c r="L15" i="12" s="1"/>
  <c r="K15" i="12"/>
  <c r="Q15" i="12"/>
  <c r="T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21" i="4"/>
  <c r="D3" i="2"/>
  <c r="D4" i="2"/>
  <c r="D6" i="2"/>
  <c r="D7" i="2"/>
  <c r="D8" i="2"/>
  <c r="D9" i="2"/>
  <c r="D10" i="2"/>
  <c r="D11" i="2"/>
  <c r="D12" i="2"/>
  <c r="AG4" i="2"/>
  <c r="AG5" i="2" s="1"/>
  <c r="AG6" i="2" s="1"/>
  <c r="AG7" i="2" s="1"/>
  <c r="AG8" i="2" s="1"/>
  <c r="AG9" i="2" s="1"/>
  <c r="AG10" i="2" s="1"/>
  <c r="AG11" i="2" s="1"/>
  <c r="AG12" i="2" s="1"/>
  <c r="AG3" i="2"/>
  <c r="W4" i="2"/>
  <c r="W5" i="2"/>
  <c r="W6" i="2"/>
  <c r="W7" i="2"/>
  <c r="W8" i="2" s="1"/>
  <c r="W9" i="2" s="1"/>
  <c r="W10" i="2" s="1"/>
  <c r="W11" i="2" s="1"/>
  <c r="W12" i="2" s="1"/>
  <c r="W3" i="2"/>
  <c r="N4" i="2"/>
  <c r="N5" i="2" s="1"/>
  <c r="N6" i="2" s="1"/>
  <c r="N7" i="2" s="1"/>
  <c r="N8" i="2" s="1"/>
  <c r="N9" i="2" s="1"/>
  <c r="N10" i="2" s="1"/>
  <c r="N11" i="2" s="1"/>
  <c r="N12" i="2" s="1"/>
  <c r="N3" i="2"/>
  <c r="B5" i="2"/>
  <c r="B6" i="2"/>
  <c r="B7" i="2" s="1"/>
  <c r="B4" i="2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G15" i="9"/>
  <c r="G17" i="9" s="1"/>
  <c r="I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G15" i="8"/>
  <c r="K15" i="8" s="1"/>
  <c r="I15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G15" i="6"/>
  <c r="I15" i="6"/>
  <c r="L41" i="6" s="1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G15" i="5"/>
  <c r="G17" i="5" s="1"/>
  <c r="I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13" i="3"/>
  <c r="D14" i="3"/>
  <c r="D15" i="3"/>
  <c r="G15" i="3"/>
  <c r="K15" i="3" s="1"/>
  <c r="I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G17" i="1"/>
  <c r="I15" i="1"/>
  <c r="G1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2" i="1"/>
  <c r="K41" i="6" l="1"/>
  <c r="I17" i="17"/>
  <c r="S15" i="12"/>
  <c r="V15" i="16"/>
  <c r="L15" i="16"/>
  <c r="I17" i="6"/>
  <c r="L42" i="6" s="1"/>
  <c r="V15" i="12"/>
  <c r="B8" i="2"/>
  <c r="B9" i="2" l="1"/>
  <c r="B10" i="2" l="1"/>
  <c r="B11" i="2" l="1"/>
  <c r="B12" i="2" l="1"/>
  <c r="D13" i="2" l="1"/>
  <c r="D14" i="2" l="1"/>
  <c r="D15" i="2" l="1"/>
  <c r="D16" i="2" l="1"/>
  <c r="D17" i="2" l="1"/>
  <c r="I15" i="2"/>
  <c r="G17" i="2"/>
  <c r="S15" i="6" l="1"/>
  <c r="S17" i="6" s="1"/>
  <c r="Q15" i="6"/>
  <c r="M41" i="6" s="1"/>
  <c r="Q17" i="6" l="1"/>
  <c r="M42" i="6" s="1"/>
</calcChain>
</file>

<file path=xl/sharedStrings.xml><?xml version="1.0" encoding="utf-8"?>
<sst xmlns="http://schemas.openxmlformats.org/spreadsheetml/2006/main" count="374" uniqueCount="58">
  <si>
    <t>4-2.1</t>
    <phoneticPr fontId="1"/>
  </si>
  <si>
    <t>入力電圧[V]</t>
    <rPh sb="0" eb="2">
      <t>ニュウリョク</t>
    </rPh>
    <rPh sb="2" eb="4">
      <t>デンアテゥ</t>
    </rPh>
    <phoneticPr fontId="1"/>
  </si>
  <si>
    <t>出力電圧[V]</t>
    <rPh sb="0" eb="2">
      <t>シュテゥ</t>
    </rPh>
    <rPh sb="2" eb="4">
      <t>デンアテゥ</t>
    </rPh>
    <phoneticPr fontId="1"/>
  </si>
  <si>
    <t>反転入力端子電圧計算値[V]</t>
    <phoneticPr fontId="1"/>
  </si>
  <si>
    <t>理論値[V]</t>
    <rPh sb="0" eb="3">
      <t>リロn</t>
    </rPh>
    <phoneticPr fontId="1"/>
  </si>
  <si>
    <r>
      <t>R</t>
    </r>
    <r>
      <rPr>
        <vertAlign val="subscript"/>
        <sz val="10.5"/>
        <color theme="1"/>
        <rFont val="游明朝 Regular (本文のフォント - 日本語)"/>
        <family val="3"/>
        <charset val="128"/>
      </rPr>
      <t>L1</t>
    </r>
    <phoneticPr fontId="1"/>
  </si>
  <si>
    <r>
      <t>R</t>
    </r>
    <r>
      <rPr>
        <vertAlign val="subscript"/>
        <sz val="10.5"/>
        <color theme="1"/>
        <rFont val="游明朝 Regular (本文のフォント - 日本語)"/>
        <family val="3"/>
        <charset val="128"/>
      </rPr>
      <t>L2</t>
    </r>
    <phoneticPr fontId="1"/>
  </si>
  <si>
    <t>入力電圧[V]</t>
    <rPh sb="0" eb="4">
      <t>ニュウリョク</t>
    </rPh>
    <phoneticPr fontId="1"/>
  </si>
  <si>
    <t>出力電圧[V]</t>
    <rPh sb="0" eb="4">
      <t>シュツリョクデn</t>
    </rPh>
    <phoneticPr fontId="1"/>
  </si>
  <si>
    <r>
      <t>R</t>
    </r>
    <r>
      <rPr>
        <vertAlign val="subscript"/>
        <sz val="10.5"/>
        <color theme="1"/>
        <rFont val="游明朝 Regular (本文のフォント - 日本語)"/>
        <family val="3"/>
        <charset val="128"/>
      </rPr>
      <t>L1</t>
    </r>
    <r>
      <rPr>
        <sz val="10.5"/>
        <color theme="1"/>
        <rFont val="游明朝 Regular (本文のフォント - 日本語)"/>
        <family val="3"/>
        <charset val="128"/>
      </rPr>
      <t>とR</t>
    </r>
    <r>
      <rPr>
        <vertAlign val="subscript"/>
        <sz val="10.5"/>
        <color theme="1"/>
        <rFont val="游明朝 Regular (本文のフォント - 日本語)"/>
        <family val="3"/>
        <charset val="128"/>
      </rPr>
      <t>L2</t>
    </r>
    <phoneticPr fontId="1"/>
  </si>
  <si>
    <t>反転増幅回路</t>
    <rPh sb="0" eb="6">
      <t>ハンテンズ</t>
    </rPh>
    <phoneticPr fontId="1"/>
  </si>
  <si>
    <t>測定値傾きa</t>
    <rPh sb="0" eb="3">
      <t>ソクテイ</t>
    </rPh>
    <rPh sb="3" eb="4">
      <t>カタムキ</t>
    </rPh>
    <phoneticPr fontId="1"/>
  </si>
  <si>
    <t>理論値傾きa</t>
    <rPh sb="0" eb="4">
      <t>リロn</t>
    </rPh>
    <phoneticPr fontId="1"/>
  </si>
  <si>
    <t>測定値傾きb</t>
    <rPh sb="0" eb="3">
      <t>ソクテイ</t>
    </rPh>
    <rPh sb="3" eb="4">
      <t>カタムキ</t>
    </rPh>
    <phoneticPr fontId="1"/>
  </si>
  <si>
    <t>理論値傾きb</t>
    <rPh sb="0" eb="3">
      <t>リロn</t>
    </rPh>
    <rPh sb="3" eb="4">
      <t>カタムキ</t>
    </rPh>
    <phoneticPr fontId="1"/>
  </si>
  <si>
    <t>傾き相対誤差[%]</t>
    <rPh sb="0" eb="1">
      <t>カタムキ</t>
    </rPh>
    <rPh sb="2" eb="6">
      <t>ソウタイゴサ</t>
    </rPh>
    <phoneticPr fontId="1"/>
  </si>
  <si>
    <t>↓全部合体</t>
    <rPh sb="1" eb="5">
      <t>ゼンブグ</t>
    </rPh>
    <phoneticPr fontId="1"/>
  </si>
  <si>
    <r>
      <t>R</t>
    </r>
    <r>
      <rPr>
        <vertAlign val="subscript"/>
        <sz val="12"/>
        <color theme="1"/>
        <rFont val="游ゴシック"/>
        <family val="3"/>
        <charset val="128"/>
      </rPr>
      <t>L1</t>
    </r>
    <phoneticPr fontId="1"/>
  </si>
  <si>
    <r>
      <t>R</t>
    </r>
    <r>
      <rPr>
        <vertAlign val="subscript"/>
        <sz val="12"/>
        <color theme="1"/>
        <rFont val="游ゴシック"/>
        <family val="3"/>
        <charset val="128"/>
      </rPr>
      <t>L2</t>
    </r>
    <phoneticPr fontId="1"/>
  </si>
  <si>
    <r>
      <t>R</t>
    </r>
    <r>
      <rPr>
        <vertAlign val="subscript"/>
        <sz val="12"/>
        <color theme="1"/>
        <rFont val="游ゴシック"/>
        <family val="3"/>
        <charset val="128"/>
      </rPr>
      <t>L1</t>
    </r>
    <r>
      <rPr>
        <sz val="12"/>
        <color theme="1"/>
        <rFont val="游ゴシック"/>
        <family val="2"/>
        <charset val="128"/>
        <scheme val="minor"/>
      </rPr>
      <t>とR</t>
    </r>
    <r>
      <rPr>
        <vertAlign val="subscript"/>
        <sz val="12"/>
        <color theme="1"/>
        <rFont val="游ゴシック"/>
        <family val="3"/>
        <charset val="128"/>
      </rPr>
      <t>L2</t>
    </r>
    <phoneticPr fontId="1"/>
  </si>
  <si>
    <t>非反転増幅回路</t>
    <rPh sb="0" eb="1">
      <t xml:space="preserve">ヒ </t>
    </rPh>
    <rPh sb="1" eb="7">
      <t>ハンテンズ</t>
    </rPh>
    <phoneticPr fontId="1"/>
  </si>
  <si>
    <t>出力インピーダンス</t>
    <rPh sb="0" eb="2">
      <t>シュツル</t>
    </rPh>
    <phoneticPr fontId="1"/>
  </si>
  <si>
    <t>出力インピーダンス</t>
    <rPh sb="0" eb="2">
      <t>シュテゥ</t>
    </rPh>
    <phoneticPr fontId="1"/>
  </si>
  <si>
    <r>
      <t>E</t>
    </r>
    <r>
      <rPr>
        <vertAlign val="subscript"/>
        <sz val="12"/>
        <color theme="1"/>
        <rFont val="游ゴシック"/>
        <family val="3"/>
        <charset val="128"/>
      </rPr>
      <t>b2</t>
    </r>
    <r>
      <rPr>
        <sz val="12"/>
        <color theme="1"/>
        <rFont val="游ゴシック"/>
        <family val="2"/>
        <charset val="128"/>
        <scheme val="minor"/>
      </rPr>
      <t>[V]</t>
    </r>
    <phoneticPr fontId="1"/>
  </si>
  <si>
    <r>
      <t>E</t>
    </r>
    <r>
      <rPr>
        <vertAlign val="subscript"/>
        <sz val="12"/>
        <color theme="1"/>
        <rFont val="游ゴシック"/>
        <family val="3"/>
        <charset val="128"/>
      </rPr>
      <t>b1</t>
    </r>
    <phoneticPr fontId="1"/>
  </si>
  <si>
    <r>
      <t>E</t>
    </r>
    <r>
      <rPr>
        <vertAlign val="subscript"/>
        <sz val="12"/>
        <color theme="1"/>
        <rFont val="游ゴシック"/>
        <family val="3"/>
        <charset val="128"/>
      </rPr>
      <t>b1</t>
    </r>
    <r>
      <rPr>
        <sz val="12"/>
        <color theme="1"/>
        <rFont val="游ゴシック"/>
        <family val="2"/>
        <charset val="128"/>
        <scheme val="minor"/>
      </rPr>
      <t>固定時</t>
    </r>
    <rPh sb="3" eb="6">
      <t>コテイ</t>
    </rPh>
    <phoneticPr fontId="1"/>
  </si>
  <si>
    <r>
      <t>E</t>
    </r>
    <r>
      <rPr>
        <vertAlign val="subscript"/>
        <sz val="12"/>
        <color theme="1"/>
        <rFont val="游ゴシック"/>
        <family val="3"/>
        <charset val="128"/>
      </rPr>
      <t>b2</t>
    </r>
    <r>
      <rPr>
        <sz val="12"/>
        <color theme="1"/>
        <rFont val="游ゴシック"/>
        <family val="2"/>
        <charset val="128"/>
        <scheme val="minor"/>
      </rPr>
      <t>固定時</t>
    </r>
    <rPh sb="3" eb="5">
      <t>コテイ</t>
    </rPh>
    <rPh sb="5" eb="6">
      <t>トキ</t>
    </rPh>
    <phoneticPr fontId="1"/>
  </si>
  <si>
    <t>測定値切片b</t>
    <rPh sb="0" eb="3">
      <t>ソクテイ</t>
    </rPh>
    <rPh sb="3" eb="5">
      <t>セッペン</t>
    </rPh>
    <phoneticPr fontId="1"/>
  </si>
  <si>
    <t>理論値切片b</t>
    <rPh sb="0" eb="3">
      <t>リロn</t>
    </rPh>
    <rPh sb="3" eb="5">
      <t>セッペn</t>
    </rPh>
    <phoneticPr fontId="1"/>
  </si>
  <si>
    <t>切片相対誤差[%]</t>
    <rPh sb="0" eb="2">
      <t>セッペn</t>
    </rPh>
    <rPh sb="2" eb="6">
      <t>ソウタイ</t>
    </rPh>
    <phoneticPr fontId="1"/>
  </si>
  <si>
    <r>
      <t>Ea</t>
    </r>
    <r>
      <rPr>
        <vertAlign val="subscript"/>
        <sz val="12"/>
        <color theme="1"/>
        <rFont val="游ゴシック"/>
        <family val="3"/>
        <charset val="128"/>
      </rPr>
      <t>1</t>
    </r>
    <phoneticPr fontId="1"/>
  </si>
  <si>
    <r>
      <t>E</t>
    </r>
    <r>
      <rPr>
        <vertAlign val="subscript"/>
        <sz val="12"/>
        <color theme="1"/>
        <rFont val="游ゴシック"/>
        <family val="3"/>
        <charset val="128"/>
      </rPr>
      <t>b1</t>
    </r>
    <r>
      <rPr>
        <sz val="12"/>
        <color theme="1"/>
        <rFont val="游ゴシック"/>
        <family val="2"/>
        <charset val="128"/>
        <scheme val="minor"/>
      </rPr>
      <t>[V]</t>
    </r>
    <phoneticPr fontId="1"/>
  </si>
  <si>
    <r>
      <t>Ea</t>
    </r>
    <r>
      <rPr>
        <vertAlign val="subscript"/>
        <sz val="12"/>
        <color theme="1"/>
        <rFont val="游ゴシック"/>
        <family val="3"/>
        <charset val="128"/>
      </rPr>
      <t>1</t>
    </r>
    <r>
      <rPr>
        <sz val="12"/>
        <color theme="1"/>
        <rFont val="游ゴシック"/>
        <family val="2"/>
        <charset val="128"/>
        <scheme val="minor"/>
      </rPr>
      <t>固定時</t>
    </r>
    <rPh sb="3" eb="6">
      <t>コテイ</t>
    </rPh>
    <phoneticPr fontId="1"/>
  </si>
  <si>
    <r>
      <t>E</t>
    </r>
    <r>
      <rPr>
        <vertAlign val="subscript"/>
        <sz val="12"/>
        <color theme="1"/>
        <rFont val="游ゴシック"/>
        <family val="3"/>
        <charset val="128"/>
      </rPr>
      <t>b1</t>
    </r>
    <r>
      <rPr>
        <sz val="12"/>
        <color theme="1"/>
        <rFont val="游ゴシック"/>
        <family val="2"/>
        <charset val="128"/>
        <scheme val="minor"/>
      </rPr>
      <t>固定時</t>
    </r>
    <rPh sb="3" eb="5">
      <t>コテイ</t>
    </rPh>
    <rPh sb="5" eb="6">
      <t>トキ</t>
    </rPh>
    <phoneticPr fontId="1"/>
  </si>
  <si>
    <t>↓個人的なやつです</t>
    <rPh sb="1" eb="4">
      <t>コジンテキ</t>
    </rPh>
    <phoneticPr fontId="1"/>
  </si>
  <si>
    <t>相対誤差[%]</t>
    <rPh sb="0" eb="4">
      <t>ソウタイ</t>
    </rPh>
    <phoneticPr fontId="1"/>
  </si>
  <si>
    <t>なし</t>
    <phoneticPr fontId="1"/>
  </si>
  <si>
    <t>無負荷時</t>
    <rPh sb="0" eb="3">
      <t>ムフカ</t>
    </rPh>
    <rPh sb="3" eb="4">
      <t xml:space="preserve">トキ </t>
    </rPh>
    <phoneticPr fontId="1"/>
  </si>
  <si>
    <t>3kΩ時</t>
    <rPh sb="3" eb="4">
      <t>トキ</t>
    </rPh>
    <phoneticPr fontId="1"/>
  </si>
  <si>
    <t>1kΩ時</t>
    <rPh sb="3" eb="4">
      <t>トキ</t>
    </rPh>
    <phoneticPr fontId="1"/>
  </si>
  <si>
    <t>750Ω時</t>
    <rPh sb="4" eb="5">
      <t xml:space="preserve">トキ </t>
    </rPh>
    <phoneticPr fontId="1"/>
  </si>
  <si>
    <t>利得相対誤差[%]</t>
    <rPh sb="0" eb="2">
      <t>リトク</t>
    </rPh>
    <rPh sb="2" eb="6">
      <t>ソウタイ</t>
    </rPh>
    <phoneticPr fontId="1"/>
  </si>
  <si>
    <t>傾き絶対誤差</t>
    <rPh sb="0" eb="1">
      <t>カタムキ</t>
    </rPh>
    <rPh sb="2" eb="6">
      <t>ゼッタイ</t>
    </rPh>
    <phoneticPr fontId="1"/>
  </si>
  <si>
    <r>
      <t>出力インピーダンスZ</t>
    </r>
    <r>
      <rPr>
        <vertAlign val="subscript"/>
        <sz val="12"/>
        <color theme="1"/>
        <rFont val="游ゴシック"/>
        <family val="3"/>
        <charset val="128"/>
      </rPr>
      <t>out</t>
    </r>
    <r>
      <rPr>
        <sz val="12"/>
        <color theme="1"/>
        <rFont val="游ゴシック"/>
        <family val="2"/>
        <charset val="128"/>
        <scheme val="minor"/>
      </rPr>
      <t>[Ω]</t>
    </r>
    <rPh sb="0" eb="2">
      <t>シュテゥ</t>
    </rPh>
    <phoneticPr fontId="1"/>
  </si>
  <si>
    <t>無負荷時</t>
    <rPh sb="0" eb="3">
      <t>ムフカ</t>
    </rPh>
    <rPh sb="3" eb="4">
      <t>トキ</t>
    </rPh>
    <phoneticPr fontId="1"/>
  </si>
  <si>
    <t>測定値切片b</t>
    <phoneticPr fontId="1"/>
  </si>
  <si>
    <r>
      <t>無負荷時入力インピーダンスZ</t>
    </r>
    <r>
      <rPr>
        <vertAlign val="subscript"/>
        <sz val="12"/>
        <color theme="1"/>
        <rFont val="游ゴシック"/>
        <family val="3"/>
        <charset val="128"/>
      </rPr>
      <t>in</t>
    </r>
    <r>
      <rPr>
        <sz val="12"/>
        <color theme="1"/>
        <rFont val="游ゴシック"/>
        <family val="2"/>
        <charset val="128"/>
        <scheme val="minor"/>
      </rPr>
      <t>[Ω]</t>
    </r>
    <rPh sb="0" eb="3">
      <t>ムフカ</t>
    </rPh>
    <rPh sb="3" eb="4">
      <t xml:space="preserve">トキ </t>
    </rPh>
    <rPh sb="4" eb="6">
      <t>ニュウリョクインピーデ</t>
    </rPh>
    <phoneticPr fontId="1"/>
  </si>
  <si>
    <t>∞</t>
    <phoneticPr fontId="1"/>
  </si>
  <si>
    <r>
      <t>E</t>
    </r>
    <r>
      <rPr>
        <vertAlign val="subscript"/>
        <sz val="12"/>
        <color theme="1"/>
        <rFont val="游ゴシック"/>
        <family val="3"/>
        <charset val="128"/>
      </rPr>
      <t>b1</t>
    </r>
    <r>
      <rPr>
        <sz val="12"/>
        <color theme="1"/>
        <rFont val="游ゴシック"/>
        <family val="2"/>
        <charset val="128"/>
        <scheme val="minor"/>
      </rPr>
      <t>=3V固定時</t>
    </r>
    <rPh sb="6" eb="8">
      <t>コテイ</t>
    </rPh>
    <rPh sb="8" eb="9">
      <t>トキ</t>
    </rPh>
    <phoneticPr fontId="1"/>
  </si>
  <si>
    <r>
      <t>E</t>
    </r>
    <r>
      <rPr>
        <vertAlign val="subscript"/>
        <sz val="12"/>
        <color theme="1"/>
        <rFont val="游ゴシック"/>
        <family val="3"/>
        <charset val="128"/>
      </rPr>
      <t>b2</t>
    </r>
    <r>
      <rPr>
        <sz val="12"/>
        <color theme="1"/>
        <rFont val="游ゴシック"/>
        <family val="2"/>
        <charset val="128"/>
        <scheme val="minor"/>
      </rPr>
      <t>=3V固定時</t>
    </r>
    <rPh sb="6" eb="9">
      <t>コテイ</t>
    </rPh>
    <phoneticPr fontId="1"/>
  </si>
  <si>
    <t>理論値</t>
    <rPh sb="0" eb="3">
      <t>リロn</t>
    </rPh>
    <phoneticPr fontId="1"/>
  </si>
  <si>
    <t>測定値</t>
    <rPh sb="0" eb="3">
      <t>ソクテイ</t>
    </rPh>
    <phoneticPr fontId="1"/>
  </si>
  <si>
    <t>(y=ax+b)</t>
    <phoneticPr fontId="1"/>
  </si>
  <si>
    <t>傾き(a)</t>
    <rPh sb="0" eb="1">
      <t>カタムキ</t>
    </rPh>
    <phoneticPr fontId="1"/>
  </si>
  <si>
    <t>傾き(a)</t>
    <phoneticPr fontId="1"/>
  </si>
  <si>
    <t>切片(b)</t>
    <rPh sb="0" eb="2">
      <t>セッペn</t>
    </rPh>
    <phoneticPr fontId="1"/>
  </si>
  <si>
    <r>
      <t>E</t>
    </r>
    <r>
      <rPr>
        <vertAlign val="subscript"/>
        <sz val="12"/>
        <color theme="1"/>
        <rFont val="游ゴシック"/>
        <family val="3"/>
        <charset val="128"/>
      </rPr>
      <t>b1</t>
    </r>
    <r>
      <rPr>
        <sz val="12"/>
        <color theme="1"/>
        <rFont val="游ゴシック"/>
        <family val="2"/>
        <charset val="128"/>
        <scheme val="minor"/>
      </rPr>
      <t>を3Vで固定時</t>
    </r>
    <rPh sb="3" eb="5">
      <t>コテイ</t>
    </rPh>
    <rPh sb="5" eb="6">
      <t>トキ</t>
    </rPh>
    <phoneticPr fontId="1"/>
  </si>
  <si>
    <r>
      <t>Ea</t>
    </r>
    <r>
      <rPr>
        <vertAlign val="subscript"/>
        <sz val="12"/>
        <color theme="1"/>
        <rFont val="游ゴシック"/>
        <family val="3"/>
        <charset val="128"/>
      </rPr>
      <t>1</t>
    </r>
    <r>
      <rPr>
        <sz val="12"/>
        <color theme="1"/>
        <rFont val="游ゴシック"/>
        <family val="2"/>
        <charset val="128"/>
        <scheme val="minor"/>
      </rPr>
      <t>を3Vで固定時</t>
    </r>
    <rPh sb="3" eb="6">
      <t>コテイ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</si>
</sst>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"/>
    <numFmt numFmtId="177" formatCode="0.0000"/>
    <numFmt numFmtId="178" formatCode="0.000000"/>
    <numFmt numFmtId="179" formatCode="0.0"/>
    <numFmt numFmtId="180" formatCode="0.0000000"/>
    <numFmt numFmtId="181" formatCode="0.00000"/>
  </numFmts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vertAlign val="subscript"/>
      <sz val="12"/>
      <color theme="1"/>
      <name val="游ゴシック"/>
      <family val="3"/>
      <charset val="128"/>
    </font>
    <font>
      <vertAlign val="subscript"/>
      <sz val="10.5"/>
      <color theme="1"/>
      <name val="游明朝 Regular (本文のフォント - 日本語)"/>
      <family val="3"/>
      <charset val="128"/>
    </font>
    <font>
      <sz val="10.5"/>
      <color theme="1"/>
      <name val="游明朝 Regular (本文のフォント - 日本語)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78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77" fontId="4" fillId="0" borderId="3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9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2" xfId="0" applyBorder="1">
      <alignment vertical="center"/>
    </xf>
    <xf numFmtId="180" fontId="0" fillId="0" borderId="2" xfId="0" applyNumberFormat="1" applyBorder="1">
      <alignment vertical="center"/>
    </xf>
    <xf numFmtId="176" fontId="0" fillId="0" borderId="2" xfId="0" applyNumberFormat="1" applyBorder="1">
      <alignment vertical="center"/>
    </xf>
    <xf numFmtId="179" fontId="0" fillId="0" borderId="2" xfId="0" applyNumberFormat="1" applyBorder="1">
      <alignment vertical="center"/>
    </xf>
    <xf numFmtId="2" fontId="0" fillId="0" borderId="2" xfId="0" applyNumberFormat="1" applyBorder="1">
      <alignment vertical="center"/>
    </xf>
    <xf numFmtId="0" fontId="0" fillId="0" borderId="8" xfId="0" applyBorder="1">
      <alignment vertical="center"/>
    </xf>
    <xf numFmtId="0" fontId="0" fillId="0" borderId="2" xfId="0" applyBorder="1" applyAlignment="1">
      <alignment horizontal="center" vertical="center"/>
    </xf>
    <xf numFmtId="181" fontId="0" fillId="0" borderId="0" xfId="0" applyNumberFormat="1">
      <alignment vertical="center"/>
    </xf>
    <xf numFmtId="178" fontId="0" fillId="0" borderId="2" xfId="0" applyNumberFormat="1" applyBorder="1">
      <alignment vertical="center"/>
    </xf>
    <xf numFmtId="181" fontId="0" fillId="0" borderId="2" xfId="0" applyNumberFormat="1" applyBorder="1">
      <alignment vertical="center"/>
    </xf>
    <xf numFmtId="0" fontId="0" fillId="0" borderId="9" xfId="0" applyBorder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無負荷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'周東いる班(反転増幅回路)'!$B$2:$B$50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'周東いる班(反転増幅回路)'!$C$2:$C$50</c:f>
              <c:numCache>
                <c:formatCode>General</c:formatCode>
                <c:ptCount val="49"/>
                <c:pt idx="0">
                  <c:v>9.9659999999999993</c:v>
                </c:pt>
                <c:pt idx="1">
                  <c:v>7.9749999999999996</c:v>
                </c:pt>
                <c:pt idx="2">
                  <c:v>5.9829999999999997</c:v>
                </c:pt>
                <c:pt idx="3">
                  <c:v>3.9910000000000001</c:v>
                </c:pt>
                <c:pt idx="4">
                  <c:v>1.998</c:v>
                </c:pt>
                <c:pt idx="5">
                  <c:v>6.0000000000000001E-3</c:v>
                </c:pt>
                <c:pt idx="6">
                  <c:v>-1.9870000000000001</c:v>
                </c:pt>
                <c:pt idx="7">
                  <c:v>-3.9790000000000001</c:v>
                </c:pt>
                <c:pt idx="8">
                  <c:v>-5.9710000000000001</c:v>
                </c:pt>
                <c:pt idx="9">
                  <c:v>-7.9640000000000004</c:v>
                </c:pt>
                <c:pt idx="10">
                  <c:v>-9.9559999999999995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29-3D46-A1E8-91E50E829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777072"/>
      </c:scatterChart>
      <c:valAx>
        <c:axId val="267727344"/>
        <c:scaling>
          <c:orientation val="minMax"/>
          <c:max val="5"/>
          <c:min val="-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777072"/>
        <c:crossesAt val="-10"/>
        <c:crossBetween val="midCat"/>
      </c:valAx>
      <c:valAx>
        <c:axId val="112777072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0"/>
                  <a:t>出力電圧</a:t>
                </a:r>
                <a:r>
                  <a:rPr lang="en-US" altLang="ja-JP" b="0"/>
                  <a:t>[V]</a:t>
                </a:r>
                <a:endParaRPr lang="ja-JP" alt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At val="-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3kΩ負荷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8181805179518204"/>
                  <c:y val="2.455892247029738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'周東いる班(反転増幅回路)'!$N$2:$N$50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'周東いる班(反転増幅回路)'!$O$2:$O$50</c:f>
              <c:numCache>
                <c:formatCode>General</c:formatCode>
                <c:ptCount val="49"/>
                <c:pt idx="0">
                  <c:v>9.968</c:v>
                </c:pt>
                <c:pt idx="1">
                  <c:v>7.9009999999999998</c:v>
                </c:pt>
                <c:pt idx="2">
                  <c:v>5.96</c:v>
                </c:pt>
                <c:pt idx="3">
                  <c:v>3.9660000000000002</c:v>
                </c:pt>
                <c:pt idx="4">
                  <c:v>1.976</c:v>
                </c:pt>
                <c:pt idx="5">
                  <c:v>-1.4999999999999999E-2</c:v>
                </c:pt>
                <c:pt idx="6">
                  <c:v>-2.0070000000000001</c:v>
                </c:pt>
                <c:pt idx="7">
                  <c:v>-3.996</c:v>
                </c:pt>
                <c:pt idx="8">
                  <c:v>-5.9859999999999998</c:v>
                </c:pt>
                <c:pt idx="9">
                  <c:v>-7.976</c:v>
                </c:pt>
                <c:pt idx="10">
                  <c:v>-9.9649999999999999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C6-C444-AD96-DA1A5C2AF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69184"/>
        <c:axId val="81574480"/>
      </c:scatterChart>
      <c:valAx>
        <c:axId val="81669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574480"/>
        <c:crossesAt val="-15"/>
        <c:crossBetween val="midCat"/>
      </c:valAx>
      <c:valAx>
        <c:axId val="81574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669184"/>
        <c:crossesAt val="-6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1272119180422269"/>
                  <c:y val="1.63344274791629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'周東いる班(反転増幅回路)'!$W$2:$W$50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'周東いる班(反転増幅回路)'!$X$2:$X$50</c:f>
              <c:numCache>
                <c:formatCode>General</c:formatCode>
                <c:ptCount val="49"/>
                <c:pt idx="0">
                  <c:v>9.9670000000000005</c:v>
                </c:pt>
                <c:pt idx="1">
                  <c:v>7.9749999999999996</c:v>
                </c:pt>
                <c:pt idx="2">
                  <c:v>5.9669999999999996</c:v>
                </c:pt>
                <c:pt idx="3">
                  <c:v>3.9710000000000001</c:v>
                </c:pt>
                <c:pt idx="4">
                  <c:v>1.9950000000000001</c:v>
                </c:pt>
                <c:pt idx="5">
                  <c:v>-0.02</c:v>
                </c:pt>
                <c:pt idx="6">
                  <c:v>-1.9870000000000001</c:v>
                </c:pt>
                <c:pt idx="7">
                  <c:v>-3.9790000000000001</c:v>
                </c:pt>
                <c:pt idx="8">
                  <c:v>-5.9710000000000001</c:v>
                </c:pt>
                <c:pt idx="9">
                  <c:v>-7.9649999999999999</c:v>
                </c:pt>
                <c:pt idx="10">
                  <c:v>-9.9550000000000001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FB-1E4A-A00A-D850BC814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576944"/>
      </c:scatterChart>
      <c:valAx>
        <c:axId val="26772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576944"/>
        <c:crossesAt val="-15"/>
        <c:crossBetween val="midCat"/>
      </c:valAx>
      <c:valAx>
        <c:axId val="112576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At val="-6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6380145226821211"/>
                  <c:y val="1.54452078128319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'周東いる班(反転増幅回路)'!$AG$2:$AG$50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'周東いる班(反転増幅回路)'!$AH$2:$AH$50</c:f>
              <c:numCache>
                <c:formatCode>General</c:formatCode>
                <c:ptCount val="49"/>
                <c:pt idx="0">
                  <c:v>9.968</c:v>
                </c:pt>
                <c:pt idx="1">
                  <c:v>7.976</c:v>
                </c:pt>
                <c:pt idx="2">
                  <c:v>5.984</c:v>
                </c:pt>
                <c:pt idx="3">
                  <c:v>3.9910000000000001</c:v>
                </c:pt>
                <c:pt idx="4">
                  <c:v>1.9990000000000001</c:v>
                </c:pt>
                <c:pt idx="5">
                  <c:v>6.0000000000000001E-3</c:v>
                </c:pt>
                <c:pt idx="6">
                  <c:v>-1.9870000000000001</c:v>
                </c:pt>
                <c:pt idx="7">
                  <c:v>-3.98</c:v>
                </c:pt>
                <c:pt idx="8">
                  <c:v>-5.9720000000000004</c:v>
                </c:pt>
                <c:pt idx="9">
                  <c:v>-7.9640000000000004</c:v>
                </c:pt>
                <c:pt idx="10">
                  <c:v>-9.9570000000000007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1A-4545-9EC2-8A1099ED9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At val="-15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At val="-6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76159230096238"/>
          <c:y val="3.0643208386196507E-2"/>
          <c:w val="0.85076618547681537"/>
          <c:h val="0.80458294345796677"/>
        </c:manualLayout>
      </c:layout>
      <c:scatterChart>
        <c:scatterStyle val="lineMarker"/>
        <c:varyColors val="0"/>
        <c:ser>
          <c:idx val="1"/>
          <c:order val="0"/>
          <c:tx>
            <c:v>無負荷</c:v>
          </c:tx>
          <c:spPr>
            <a:ln w="38100">
              <a:noFill/>
            </a:ln>
          </c:spPr>
          <c:xVal>
            <c:numRef>
              <c:f>'周東いる班(反転増幅回路)'!$B$2:$B$50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'周東いる班(反転増幅回路)'!$C$2:$C$50</c:f>
              <c:numCache>
                <c:formatCode>General</c:formatCode>
                <c:ptCount val="49"/>
                <c:pt idx="0">
                  <c:v>9.9659999999999993</c:v>
                </c:pt>
                <c:pt idx="1">
                  <c:v>7.9749999999999996</c:v>
                </c:pt>
                <c:pt idx="2">
                  <c:v>5.9829999999999997</c:v>
                </c:pt>
                <c:pt idx="3">
                  <c:v>3.9910000000000001</c:v>
                </c:pt>
                <c:pt idx="4">
                  <c:v>1.998</c:v>
                </c:pt>
                <c:pt idx="5">
                  <c:v>6.0000000000000001E-3</c:v>
                </c:pt>
                <c:pt idx="6">
                  <c:v>-1.9870000000000001</c:v>
                </c:pt>
                <c:pt idx="7">
                  <c:v>-3.9790000000000001</c:v>
                </c:pt>
                <c:pt idx="8">
                  <c:v>-5.9710000000000001</c:v>
                </c:pt>
                <c:pt idx="9">
                  <c:v>-7.9640000000000004</c:v>
                </c:pt>
                <c:pt idx="10">
                  <c:v>-9.9559999999999995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CF-B447-97D8-411918E8912B}"/>
            </c:ext>
          </c:extLst>
        </c:ser>
        <c:ser>
          <c:idx val="2"/>
          <c:order val="1"/>
          <c:tx>
            <c:v>3kΩ負荷</c:v>
          </c:tx>
          <c:spPr>
            <a:ln w="38100" cap="rnd">
              <a:noFill/>
              <a:round/>
            </a:ln>
            <a:effectLst/>
          </c:spPr>
          <c:xVal>
            <c:numRef>
              <c:f>'周東いる班(反転増幅回路)'!$N$2:$N$50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'周東いる班(反転増幅回路)'!$O$2:$O$50</c:f>
              <c:numCache>
                <c:formatCode>General</c:formatCode>
                <c:ptCount val="49"/>
                <c:pt idx="0">
                  <c:v>9.968</c:v>
                </c:pt>
                <c:pt idx="1">
                  <c:v>7.9009999999999998</c:v>
                </c:pt>
                <c:pt idx="2">
                  <c:v>5.96</c:v>
                </c:pt>
                <c:pt idx="3">
                  <c:v>3.9660000000000002</c:v>
                </c:pt>
                <c:pt idx="4">
                  <c:v>1.976</c:v>
                </c:pt>
                <c:pt idx="5">
                  <c:v>-1.4999999999999999E-2</c:v>
                </c:pt>
                <c:pt idx="6">
                  <c:v>-2.0070000000000001</c:v>
                </c:pt>
                <c:pt idx="7">
                  <c:v>-3.996</c:v>
                </c:pt>
                <c:pt idx="8">
                  <c:v>-5.9859999999999998</c:v>
                </c:pt>
                <c:pt idx="9">
                  <c:v>-7.976</c:v>
                </c:pt>
                <c:pt idx="10">
                  <c:v>-9.9649999999999999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CF-B447-97D8-411918E8912B}"/>
            </c:ext>
          </c:extLst>
        </c:ser>
        <c:ser>
          <c:idx val="3"/>
          <c:order val="2"/>
          <c:tx>
            <c:v>1kΩ負荷</c:v>
          </c:tx>
          <c:spPr>
            <a:ln w="38100" cap="rnd">
              <a:noFill/>
              <a:round/>
            </a:ln>
            <a:effectLst/>
          </c:spPr>
          <c:xVal>
            <c:numRef>
              <c:f>'周東いる班(反転増幅回路)'!$W$2:$W$50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'周東いる班(反転増幅回路)'!$X$2:$X$50</c:f>
              <c:numCache>
                <c:formatCode>General</c:formatCode>
                <c:ptCount val="49"/>
                <c:pt idx="0">
                  <c:v>9.9670000000000005</c:v>
                </c:pt>
                <c:pt idx="1">
                  <c:v>7.9749999999999996</c:v>
                </c:pt>
                <c:pt idx="2">
                  <c:v>5.9669999999999996</c:v>
                </c:pt>
                <c:pt idx="3">
                  <c:v>3.9710000000000001</c:v>
                </c:pt>
                <c:pt idx="4">
                  <c:v>1.9950000000000001</c:v>
                </c:pt>
                <c:pt idx="5">
                  <c:v>-0.02</c:v>
                </c:pt>
                <c:pt idx="6">
                  <c:v>-1.9870000000000001</c:v>
                </c:pt>
                <c:pt idx="7">
                  <c:v>-3.9790000000000001</c:v>
                </c:pt>
                <c:pt idx="8">
                  <c:v>-5.9710000000000001</c:v>
                </c:pt>
                <c:pt idx="9">
                  <c:v>-7.9649999999999999</c:v>
                </c:pt>
                <c:pt idx="10">
                  <c:v>-9.9550000000000001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CF-B447-97D8-411918E8912B}"/>
            </c:ext>
          </c:extLst>
        </c:ser>
        <c:ser>
          <c:idx val="0"/>
          <c:order val="3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'周東いる班(反転増幅回路)'!$AG$2:$AG$50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'周東いる班(反転増幅回路)'!$AH$2:$AH$50</c:f>
              <c:numCache>
                <c:formatCode>General</c:formatCode>
                <c:ptCount val="49"/>
                <c:pt idx="0">
                  <c:v>9.968</c:v>
                </c:pt>
                <c:pt idx="1">
                  <c:v>7.976</c:v>
                </c:pt>
                <c:pt idx="2">
                  <c:v>5.984</c:v>
                </c:pt>
                <c:pt idx="3">
                  <c:v>3.9910000000000001</c:v>
                </c:pt>
                <c:pt idx="4">
                  <c:v>1.9990000000000001</c:v>
                </c:pt>
                <c:pt idx="5">
                  <c:v>6.0000000000000001E-3</c:v>
                </c:pt>
                <c:pt idx="6">
                  <c:v>-1.9870000000000001</c:v>
                </c:pt>
                <c:pt idx="7">
                  <c:v>-3.98</c:v>
                </c:pt>
                <c:pt idx="8">
                  <c:v>-5.9720000000000004</c:v>
                </c:pt>
                <c:pt idx="9">
                  <c:v>-7.9640000000000004</c:v>
                </c:pt>
                <c:pt idx="10">
                  <c:v>-9.9570000000000007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CF-B447-97D8-411918E89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66056999125109361"/>
          <c:y val="2.2841960664365724E-2"/>
          <c:w val="0.31849362966919575"/>
          <c:h val="0.29917252160145857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無負荷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'周東いる班(非反転増幅回路)'!$B$2:$B$50</c:f>
              <c:numCache>
                <c:formatCode>General</c:formatCode>
                <c:ptCount val="49"/>
                <c:pt idx="0">
                  <c:v>-5</c:v>
                </c:pt>
                <c:pt idx="1">
                  <c:v>-4.8</c:v>
                </c:pt>
                <c:pt idx="2">
                  <c:v>-4.5999999999999996</c:v>
                </c:pt>
                <c:pt idx="3">
                  <c:v>-4.4000000000000004</c:v>
                </c:pt>
                <c:pt idx="4">
                  <c:v>-4.2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4.2</c:v>
                </c:pt>
                <c:pt idx="15">
                  <c:v>4.4000000000000004</c:v>
                </c:pt>
                <c:pt idx="16">
                  <c:v>4.5999999999999996</c:v>
                </c:pt>
                <c:pt idx="17">
                  <c:v>4.8</c:v>
                </c:pt>
                <c:pt idx="18">
                  <c:v>5</c:v>
                </c:pt>
              </c:numCache>
            </c:numRef>
          </c:xVal>
          <c:yVal>
            <c:numRef>
              <c:f>'周東いる班(非反転増幅回路)'!$C$2:$C$50</c:f>
              <c:numCache>
                <c:formatCode>General</c:formatCode>
                <c:ptCount val="49"/>
                <c:pt idx="0">
                  <c:v>-14.17</c:v>
                </c:pt>
                <c:pt idx="1">
                  <c:v>-14.069000000000001</c:v>
                </c:pt>
                <c:pt idx="2">
                  <c:v>-13.760999999999999</c:v>
                </c:pt>
                <c:pt idx="3">
                  <c:v>-13.162000000000001</c:v>
                </c:pt>
                <c:pt idx="4">
                  <c:v>-12.564</c:v>
                </c:pt>
                <c:pt idx="5">
                  <c:v>-11.968999999999999</c:v>
                </c:pt>
                <c:pt idx="6">
                  <c:v>-8.9760000000000009</c:v>
                </c:pt>
                <c:pt idx="7">
                  <c:v>-5.9820000000000002</c:v>
                </c:pt>
                <c:pt idx="8">
                  <c:v>-2.988</c:v>
                </c:pt>
                <c:pt idx="9">
                  <c:v>6.0000000000000001E-3</c:v>
                </c:pt>
                <c:pt idx="10">
                  <c:v>3</c:v>
                </c:pt>
                <c:pt idx="11">
                  <c:v>5.9939999999999998</c:v>
                </c:pt>
                <c:pt idx="12">
                  <c:v>8.9879999999999995</c:v>
                </c:pt>
                <c:pt idx="13">
                  <c:v>11.989100000000001</c:v>
                </c:pt>
                <c:pt idx="14">
                  <c:v>12.576000000000001</c:v>
                </c:pt>
                <c:pt idx="15">
                  <c:v>13.173999999999999</c:v>
                </c:pt>
                <c:pt idx="16">
                  <c:v>13.414</c:v>
                </c:pt>
                <c:pt idx="17">
                  <c:v>13.414999999999999</c:v>
                </c:pt>
                <c:pt idx="18">
                  <c:v>13.416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2B-6543-9DE1-53CB69E6A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777072"/>
      </c:scatterChart>
      <c:valAx>
        <c:axId val="26772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777072"/>
        <c:crossesAt val="-20"/>
        <c:crossBetween val="midCat"/>
      </c:valAx>
      <c:valAx>
        <c:axId val="112777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0"/>
                  <a:t>出力電圧</a:t>
                </a:r>
                <a:r>
                  <a:rPr lang="en-US" altLang="ja-JP" b="0"/>
                  <a:t>[V]</a:t>
                </a:r>
                <a:endParaRPr lang="ja-JP" alt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At val="-6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51025738059435"/>
          <c:y val="4.6618403771171914E-2"/>
          <c:w val="0.83806590921762247"/>
          <c:h val="0.8008764845597125"/>
        </c:manualLayout>
      </c:layout>
      <c:scatterChart>
        <c:scatterStyle val="lineMarker"/>
        <c:varyColors val="0"/>
        <c:ser>
          <c:idx val="1"/>
          <c:order val="0"/>
          <c:tx>
            <c:v>3kΩ負荷</c:v>
          </c:tx>
          <c:spPr>
            <a:ln w="38100">
              <a:noFill/>
            </a:ln>
          </c:spPr>
          <c:xVal>
            <c:numRef>
              <c:f>'周東いる班(非反転増幅回路)'!$N$2:$N$50</c:f>
              <c:numCache>
                <c:formatCode>0.0</c:formatCode>
                <c:ptCount val="49"/>
                <c:pt idx="0">
                  <c:v>-5</c:v>
                </c:pt>
                <c:pt idx="1">
                  <c:v>-4.8</c:v>
                </c:pt>
                <c:pt idx="2">
                  <c:v>-4.5999999999999996</c:v>
                </c:pt>
                <c:pt idx="3">
                  <c:v>-4.4000000000000004</c:v>
                </c:pt>
                <c:pt idx="4">
                  <c:v>-4.2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4.2</c:v>
                </c:pt>
                <c:pt idx="15">
                  <c:v>4.4000000000000004</c:v>
                </c:pt>
                <c:pt idx="16">
                  <c:v>4.5999999999999996</c:v>
                </c:pt>
                <c:pt idx="17">
                  <c:v>4.8</c:v>
                </c:pt>
                <c:pt idx="18">
                  <c:v>5</c:v>
                </c:pt>
              </c:numCache>
            </c:numRef>
          </c:xVal>
          <c:yVal>
            <c:numRef>
              <c:f>'周東いる班(非反転増幅回路)'!$O$2:$O$50</c:f>
              <c:numCache>
                <c:formatCode>0.000</c:formatCode>
                <c:ptCount val="49"/>
                <c:pt idx="0">
                  <c:v>-13.295</c:v>
                </c:pt>
                <c:pt idx="1">
                  <c:v>-13.250999999999999</c:v>
                </c:pt>
                <c:pt idx="2">
                  <c:v>-13.242000000000001</c:v>
                </c:pt>
                <c:pt idx="3">
                  <c:v>-13.163</c:v>
                </c:pt>
                <c:pt idx="4">
                  <c:v>-12.564</c:v>
                </c:pt>
                <c:pt idx="5">
                  <c:v>-11.965999999999999</c:v>
                </c:pt>
                <c:pt idx="6">
                  <c:v>-8.9730000000000008</c:v>
                </c:pt>
                <c:pt idx="7">
                  <c:v>-5.98</c:v>
                </c:pt>
                <c:pt idx="8">
                  <c:v>-2.9870000000000001</c:v>
                </c:pt>
                <c:pt idx="9">
                  <c:v>6.0000000000000001E-3</c:v>
                </c:pt>
                <c:pt idx="10">
                  <c:v>2.9990000000000001</c:v>
                </c:pt>
                <c:pt idx="11">
                  <c:v>5.992</c:v>
                </c:pt>
                <c:pt idx="12">
                  <c:v>8.9849999999999994</c:v>
                </c:pt>
                <c:pt idx="13">
                  <c:v>11.978</c:v>
                </c:pt>
                <c:pt idx="14">
                  <c:v>12.577</c:v>
                </c:pt>
                <c:pt idx="15">
                  <c:v>13.173</c:v>
                </c:pt>
                <c:pt idx="16">
                  <c:v>13.227</c:v>
                </c:pt>
                <c:pt idx="17">
                  <c:v>13.228</c:v>
                </c:pt>
                <c:pt idx="18">
                  <c:v>13.228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3B-2A45-9010-9FF826105ED6}"/>
            </c:ext>
          </c:extLst>
        </c:ser>
        <c:ser>
          <c:idx val="0"/>
          <c:order val="1"/>
          <c:tx>
            <c:v>3kΩ負荷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'周東いる班(非反転増幅回路)'!$N$2:$N$50</c:f>
              <c:numCache>
                <c:formatCode>0.0</c:formatCode>
                <c:ptCount val="49"/>
                <c:pt idx="0">
                  <c:v>-5</c:v>
                </c:pt>
                <c:pt idx="1">
                  <c:v>-4.8</c:v>
                </c:pt>
                <c:pt idx="2">
                  <c:v>-4.5999999999999996</c:v>
                </c:pt>
                <c:pt idx="3">
                  <c:v>-4.4000000000000004</c:v>
                </c:pt>
                <c:pt idx="4">
                  <c:v>-4.2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4.2</c:v>
                </c:pt>
                <c:pt idx="15">
                  <c:v>4.4000000000000004</c:v>
                </c:pt>
                <c:pt idx="16">
                  <c:v>4.5999999999999996</c:v>
                </c:pt>
                <c:pt idx="17">
                  <c:v>4.8</c:v>
                </c:pt>
                <c:pt idx="18">
                  <c:v>5</c:v>
                </c:pt>
              </c:numCache>
            </c:numRef>
          </c:xVal>
          <c:yVal>
            <c:numRef>
              <c:f>'周東いる班(非反転増幅回路)'!$O$2:$O$50</c:f>
              <c:numCache>
                <c:formatCode>0.000</c:formatCode>
                <c:ptCount val="49"/>
                <c:pt idx="0">
                  <c:v>-13.295</c:v>
                </c:pt>
                <c:pt idx="1">
                  <c:v>-13.250999999999999</c:v>
                </c:pt>
                <c:pt idx="2">
                  <c:v>-13.242000000000001</c:v>
                </c:pt>
                <c:pt idx="3">
                  <c:v>-13.163</c:v>
                </c:pt>
                <c:pt idx="4">
                  <c:v>-12.564</c:v>
                </c:pt>
                <c:pt idx="5">
                  <c:v>-11.965999999999999</c:v>
                </c:pt>
                <c:pt idx="6">
                  <c:v>-8.9730000000000008</c:v>
                </c:pt>
                <c:pt idx="7">
                  <c:v>-5.98</c:v>
                </c:pt>
                <c:pt idx="8">
                  <c:v>-2.9870000000000001</c:v>
                </c:pt>
                <c:pt idx="9">
                  <c:v>6.0000000000000001E-3</c:v>
                </c:pt>
                <c:pt idx="10">
                  <c:v>2.9990000000000001</c:v>
                </c:pt>
                <c:pt idx="11">
                  <c:v>5.992</c:v>
                </c:pt>
                <c:pt idx="12">
                  <c:v>8.9849999999999994</c:v>
                </c:pt>
                <c:pt idx="13">
                  <c:v>11.978</c:v>
                </c:pt>
                <c:pt idx="14">
                  <c:v>12.577</c:v>
                </c:pt>
                <c:pt idx="15">
                  <c:v>13.173</c:v>
                </c:pt>
                <c:pt idx="16">
                  <c:v>13.227</c:v>
                </c:pt>
                <c:pt idx="17">
                  <c:v>13.228</c:v>
                </c:pt>
                <c:pt idx="18">
                  <c:v>13.228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3B-2A45-9010-9FF826105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69184"/>
        <c:axId val="81574480"/>
      </c:scatterChart>
      <c:valAx>
        <c:axId val="81669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574480"/>
        <c:crossesAt val="-20"/>
        <c:crossBetween val="midCat"/>
      </c:valAx>
      <c:valAx>
        <c:axId val="81574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669184"/>
        <c:crossesAt val="-6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'周東いる班(非反転増幅回路)'!$W$2:$W$54</c:f>
              <c:numCache>
                <c:formatCode>General</c:formatCode>
                <c:ptCount val="53"/>
                <c:pt idx="0">
                  <c:v>-5</c:v>
                </c:pt>
                <c:pt idx="1">
                  <c:v>-4.8</c:v>
                </c:pt>
                <c:pt idx="2">
                  <c:v>-4.5999999999999996</c:v>
                </c:pt>
                <c:pt idx="3">
                  <c:v>-4.4000000000000004</c:v>
                </c:pt>
                <c:pt idx="4">
                  <c:v>-4.2</c:v>
                </c:pt>
                <c:pt idx="5">
                  <c:v>-4</c:v>
                </c:pt>
                <c:pt idx="6">
                  <c:v>-3.8</c:v>
                </c:pt>
                <c:pt idx="7">
                  <c:v>-3.6</c:v>
                </c:pt>
                <c:pt idx="8">
                  <c:v>-3.4</c:v>
                </c:pt>
                <c:pt idx="9">
                  <c:v>-3.2</c:v>
                </c:pt>
                <c:pt idx="10">
                  <c:v>-3</c:v>
                </c:pt>
                <c:pt idx="11">
                  <c:v>-2</c:v>
                </c:pt>
                <c:pt idx="12">
                  <c:v>-1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3.2</c:v>
                </c:pt>
                <c:pt idx="18">
                  <c:v>3.4</c:v>
                </c:pt>
                <c:pt idx="19">
                  <c:v>3.6</c:v>
                </c:pt>
                <c:pt idx="20">
                  <c:v>3.8</c:v>
                </c:pt>
                <c:pt idx="21">
                  <c:v>4</c:v>
                </c:pt>
                <c:pt idx="22">
                  <c:v>4.2</c:v>
                </c:pt>
                <c:pt idx="23">
                  <c:v>4.4000000000000004</c:v>
                </c:pt>
                <c:pt idx="24">
                  <c:v>4.5999999999999996</c:v>
                </c:pt>
                <c:pt idx="25">
                  <c:v>4.8</c:v>
                </c:pt>
                <c:pt idx="26">
                  <c:v>5</c:v>
                </c:pt>
              </c:numCache>
            </c:numRef>
          </c:xVal>
          <c:yVal>
            <c:numRef>
              <c:f>'周東いる班(非反転増幅回路)'!$X$2:$X$54</c:f>
              <c:numCache>
                <c:formatCode>General</c:formatCode>
                <c:ptCount val="53"/>
                <c:pt idx="0">
                  <c:v>-11.76</c:v>
                </c:pt>
                <c:pt idx="1">
                  <c:v>-11.749000000000001</c:v>
                </c:pt>
                <c:pt idx="2">
                  <c:v>-11.743</c:v>
                </c:pt>
                <c:pt idx="3">
                  <c:v>-11.739000000000001</c:v>
                </c:pt>
                <c:pt idx="4">
                  <c:v>-11.734</c:v>
                </c:pt>
                <c:pt idx="5">
                  <c:v>-11.728999999999999</c:v>
                </c:pt>
                <c:pt idx="6">
                  <c:v>-11.366</c:v>
                </c:pt>
                <c:pt idx="7">
                  <c:v>-10.766999999999999</c:v>
                </c:pt>
                <c:pt idx="8">
                  <c:v>-10.167999999999999</c:v>
                </c:pt>
                <c:pt idx="9">
                  <c:v>-9.57</c:v>
                </c:pt>
                <c:pt idx="10">
                  <c:v>-8.9730000000000008</c:v>
                </c:pt>
                <c:pt idx="11">
                  <c:v>-5.98</c:v>
                </c:pt>
                <c:pt idx="12">
                  <c:v>-2.9870000000000001</c:v>
                </c:pt>
                <c:pt idx="13">
                  <c:v>6.0000000000000001E-3</c:v>
                </c:pt>
                <c:pt idx="14">
                  <c:v>2.9990000000000001</c:v>
                </c:pt>
                <c:pt idx="15">
                  <c:v>5.992</c:v>
                </c:pt>
                <c:pt idx="16">
                  <c:v>8.9849999999999994</c:v>
                </c:pt>
                <c:pt idx="17">
                  <c:v>9.5809999999999995</c:v>
                </c:pt>
                <c:pt idx="18">
                  <c:v>10.18</c:v>
                </c:pt>
                <c:pt idx="19">
                  <c:v>10.779</c:v>
                </c:pt>
                <c:pt idx="20">
                  <c:v>11.377000000000001</c:v>
                </c:pt>
                <c:pt idx="21">
                  <c:v>11.977</c:v>
                </c:pt>
                <c:pt idx="22">
                  <c:v>12.574999999999999</c:v>
                </c:pt>
                <c:pt idx="23">
                  <c:v>12.750999999999999</c:v>
                </c:pt>
                <c:pt idx="24">
                  <c:v>12.752000000000001</c:v>
                </c:pt>
                <c:pt idx="25">
                  <c:v>12.752000000000001</c:v>
                </c:pt>
                <c:pt idx="26">
                  <c:v>12.753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73-6946-9DC1-20C736FAF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576944"/>
      </c:scatterChart>
      <c:valAx>
        <c:axId val="26772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576944"/>
        <c:crossesAt val="-20"/>
        <c:crossBetween val="midCat"/>
      </c:valAx>
      <c:valAx>
        <c:axId val="112576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At val="-6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'周東いる班(非反転増幅回路)'!$AG$2:$AG$50</c:f>
              <c:numCache>
                <c:formatCode>0.0</c:formatCode>
                <c:ptCount val="49"/>
                <c:pt idx="0">
                  <c:v>-5</c:v>
                </c:pt>
                <c:pt idx="1">
                  <c:v>-4.8</c:v>
                </c:pt>
                <c:pt idx="2">
                  <c:v>-4.5999999999999996</c:v>
                </c:pt>
                <c:pt idx="3">
                  <c:v>-4.4000000000000004</c:v>
                </c:pt>
                <c:pt idx="4">
                  <c:v>-4.2</c:v>
                </c:pt>
                <c:pt idx="5">
                  <c:v>-4</c:v>
                </c:pt>
                <c:pt idx="6">
                  <c:v>-3.8</c:v>
                </c:pt>
                <c:pt idx="7">
                  <c:v>-3.6</c:v>
                </c:pt>
                <c:pt idx="8">
                  <c:v>-3.4</c:v>
                </c:pt>
                <c:pt idx="9">
                  <c:v>-3.2</c:v>
                </c:pt>
                <c:pt idx="10">
                  <c:v>-3</c:v>
                </c:pt>
                <c:pt idx="11">
                  <c:v>-2</c:v>
                </c:pt>
                <c:pt idx="12">
                  <c:v>-1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3.2</c:v>
                </c:pt>
                <c:pt idx="18">
                  <c:v>3.4</c:v>
                </c:pt>
                <c:pt idx="19">
                  <c:v>3.6</c:v>
                </c:pt>
                <c:pt idx="20">
                  <c:v>3.8</c:v>
                </c:pt>
                <c:pt idx="21">
                  <c:v>4</c:v>
                </c:pt>
                <c:pt idx="22">
                  <c:v>4.2</c:v>
                </c:pt>
                <c:pt idx="23">
                  <c:v>4.4000000000000004</c:v>
                </c:pt>
                <c:pt idx="24">
                  <c:v>4.5999999999999996</c:v>
                </c:pt>
                <c:pt idx="25">
                  <c:v>4.8</c:v>
                </c:pt>
                <c:pt idx="26">
                  <c:v>5</c:v>
                </c:pt>
              </c:numCache>
            </c:numRef>
          </c:xVal>
          <c:yVal>
            <c:numRef>
              <c:f>'周東いる班(非反転増幅回路)'!$AH$2:$AH$50</c:f>
              <c:numCache>
                <c:formatCode>0.00</c:formatCode>
                <c:ptCount val="49"/>
                <c:pt idx="0">
                  <c:v>-10.65</c:v>
                </c:pt>
                <c:pt idx="1">
                  <c:v>-10.618</c:v>
                </c:pt>
                <c:pt idx="2">
                  <c:v>-10.606</c:v>
                </c:pt>
                <c:pt idx="3">
                  <c:v>-10.599</c:v>
                </c:pt>
                <c:pt idx="4">
                  <c:v>-10.593999999999999</c:v>
                </c:pt>
                <c:pt idx="5">
                  <c:v>-10.59</c:v>
                </c:pt>
                <c:pt idx="6">
                  <c:v>-10.586</c:v>
                </c:pt>
                <c:pt idx="7">
                  <c:v>-10.58</c:v>
                </c:pt>
                <c:pt idx="8">
                  <c:v>-10.169</c:v>
                </c:pt>
                <c:pt idx="9">
                  <c:v>-9.5690000000000008</c:v>
                </c:pt>
                <c:pt idx="10">
                  <c:v>-8.9710000000000001</c:v>
                </c:pt>
                <c:pt idx="11">
                  <c:v>-5.9790000000000001</c:v>
                </c:pt>
                <c:pt idx="12">
                  <c:v>-2.9870000000000001</c:v>
                </c:pt>
                <c:pt idx="13">
                  <c:v>5.0000000000000001E-3</c:v>
                </c:pt>
                <c:pt idx="14">
                  <c:v>2.9980000000000002</c:v>
                </c:pt>
                <c:pt idx="15">
                  <c:v>5.99</c:v>
                </c:pt>
                <c:pt idx="16">
                  <c:v>8.9819999999999993</c:v>
                </c:pt>
                <c:pt idx="17">
                  <c:v>9.58</c:v>
                </c:pt>
                <c:pt idx="18">
                  <c:v>10.179</c:v>
                </c:pt>
                <c:pt idx="19">
                  <c:v>10.776999999999999</c:v>
                </c:pt>
                <c:pt idx="20">
                  <c:v>11.375999999999999</c:v>
                </c:pt>
                <c:pt idx="21">
                  <c:v>11.974</c:v>
                </c:pt>
                <c:pt idx="22">
                  <c:v>12.372999999999999</c:v>
                </c:pt>
                <c:pt idx="23">
                  <c:v>12.374000000000001</c:v>
                </c:pt>
                <c:pt idx="24">
                  <c:v>12.375999999999999</c:v>
                </c:pt>
                <c:pt idx="25">
                  <c:v>12.377000000000001</c:v>
                </c:pt>
                <c:pt idx="26">
                  <c:v>12.377000000000001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50-B943-9639-374E0E1E8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At val="-15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At val="-6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76159230096238"/>
          <c:y val="3.0643208386196507E-2"/>
          <c:w val="0.85076618547681537"/>
          <c:h val="0.80458294345796677"/>
        </c:manualLayout>
      </c:layout>
      <c:scatterChart>
        <c:scatterStyle val="lineMarker"/>
        <c:varyColors val="0"/>
        <c:ser>
          <c:idx val="1"/>
          <c:order val="0"/>
          <c:tx>
            <c:v>無負荷</c:v>
          </c:tx>
          <c:spPr>
            <a:ln w="38100">
              <a:noFill/>
            </a:ln>
          </c:spPr>
          <c:xVal>
            <c:numRef>
              <c:f>'周東いる班(非反転増幅回路)'!$B$2:$B$50</c:f>
              <c:numCache>
                <c:formatCode>General</c:formatCode>
                <c:ptCount val="49"/>
                <c:pt idx="0">
                  <c:v>-5</c:v>
                </c:pt>
                <c:pt idx="1">
                  <c:v>-4.8</c:v>
                </c:pt>
                <c:pt idx="2">
                  <c:v>-4.5999999999999996</c:v>
                </c:pt>
                <c:pt idx="3">
                  <c:v>-4.4000000000000004</c:v>
                </c:pt>
                <c:pt idx="4">
                  <c:v>-4.2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4.2</c:v>
                </c:pt>
                <c:pt idx="15">
                  <c:v>4.4000000000000004</c:v>
                </c:pt>
                <c:pt idx="16">
                  <c:v>4.5999999999999996</c:v>
                </c:pt>
                <c:pt idx="17">
                  <c:v>4.8</c:v>
                </c:pt>
                <c:pt idx="18">
                  <c:v>5</c:v>
                </c:pt>
              </c:numCache>
            </c:numRef>
          </c:xVal>
          <c:yVal>
            <c:numRef>
              <c:f>'周東いる班(非反転増幅回路)'!$C$2:$C$50</c:f>
              <c:numCache>
                <c:formatCode>General</c:formatCode>
                <c:ptCount val="49"/>
                <c:pt idx="0">
                  <c:v>-14.17</c:v>
                </c:pt>
                <c:pt idx="1">
                  <c:v>-14.069000000000001</c:v>
                </c:pt>
                <c:pt idx="2">
                  <c:v>-13.760999999999999</c:v>
                </c:pt>
                <c:pt idx="3">
                  <c:v>-13.162000000000001</c:v>
                </c:pt>
                <c:pt idx="4">
                  <c:v>-12.564</c:v>
                </c:pt>
                <c:pt idx="5">
                  <c:v>-11.968999999999999</c:v>
                </c:pt>
                <c:pt idx="6">
                  <c:v>-8.9760000000000009</c:v>
                </c:pt>
                <c:pt idx="7">
                  <c:v>-5.9820000000000002</c:v>
                </c:pt>
                <c:pt idx="8">
                  <c:v>-2.988</c:v>
                </c:pt>
                <c:pt idx="9">
                  <c:v>6.0000000000000001E-3</c:v>
                </c:pt>
                <c:pt idx="10">
                  <c:v>3</c:v>
                </c:pt>
                <c:pt idx="11">
                  <c:v>5.9939999999999998</c:v>
                </c:pt>
                <c:pt idx="12">
                  <c:v>8.9879999999999995</c:v>
                </c:pt>
                <c:pt idx="13">
                  <c:v>11.989100000000001</c:v>
                </c:pt>
                <c:pt idx="14">
                  <c:v>12.576000000000001</c:v>
                </c:pt>
                <c:pt idx="15">
                  <c:v>13.173999999999999</c:v>
                </c:pt>
                <c:pt idx="16">
                  <c:v>13.414</c:v>
                </c:pt>
                <c:pt idx="17">
                  <c:v>13.414999999999999</c:v>
                </c:pt>
                <c:pt idx="18">
                  <c:v>13.416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4E-664B-A3B4-F9961F2CF6E4}"/>
            </c:ext>
          </c:extLst>
        </c:ser>
        <c:ser>
          <c:idx val="2"/>
          <c:order val="1"/>
          <c:tx>
            <c:v>3kΩ負荷</c:v>
          </c:tx>
          <c:spPr>
            <a:ln w="38100" cap="rnd">
              <a:noFill/>
              <a:round/>
            </a:ln>
            <a:effectLst/>
          </c:spPr>
          <c:xVal>
            <c:numRef>
              <c:f>'周東いる班(非反転増幅回路)'!$N$2:$N$50</c:f>
              <c:numCache>
                <c:formatCode>0.0</c:formatCode>
                <c:ptCount val="49"/>
                <c:pt idx="0">
                  <c:v>-5</c:v>
                </c:pt>
                <c:pt idx="1">
                  <c:v>-4.8</c:v>
                </c:pt>
                <c:pt idx="2">
                  <c:v>-4.5999999999999996</c:v>
                </c:pt>
                <c:pt idx="3">
                  <c:v>-4.4000000000000004</c:v>
                </c:pt>
                <c:pt idx="4">
                  <c:v>-4.2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4.2</c:v>
                </c:pt>
                <c:pt idx="15">
                  <c:v>4.4000000000000004</c:v>
                </c:pt>
                <c:pt idx="16">
                  <c:v>4.5999999999999996</c:v>
                </c:pt>
                <c:pt idx="17">
                  <c:v>4.8</c:v>
                </c:pt>
                <c:pt idx="18">
                  <c:v>5</c:v>
                </c:pt>
              </c:numCache>
            </c:numRef>
          </c:xVal>
          <c:yVal>
            <c:numRef>
              <c:f>'周東いる班(非反転増幅回路)'!$O$2:$O$50</c:f>
              <c:numCache>
                <c:formatCode>0.000</c:formatCode>
                <c:ptCount val="49"/>
                <c:pt idx="0">
                  <c:v>-13.295</c:v>
                </c:pt>
                <c:pt idx="1">
                  <c:v>-13.250999999999999</c:v>
                </c:pt>
                <c:pt idx="2">
                  <c:v>-13.242000000000001</c:v>
                </c:pt>
                <c:pt idx="3">
                  <c:v>-13.163</c:v>
                </c:pt>
                <c:pt idx="4">
                  <c:v>-12.564</c:v>
                </c:pt>
                <c:pt idx="5">
                  <c:v>-11.965999999999999</c:v>
                </c:pt>
                <c:pt idx="6">
                  <c:v>-8.9730000000000008</c:v>
                </c:pt>
                <c:pt idx="7">
                  <c:v>-5.98</c:v>
                </c:pt>
                <c:pt idx="8">
                  <c:v>-2.9870000000000001</c:v>
                </c:pt>
                <c:pt idx="9">
                  <c:v>6.0000000000000001E-3</c:v>
                </c:pt>
                <c:pt idx="10">
                  <c:v>2.9990000000000001</c:v>
                </c:pt>
                <c:pt idx="11">
                  <c:v>5.992</c:v>
                </c:pt>
                <c:pt idx="12">
                  <c:v>8.9849999999999994</c:v>
                </c:pt>
                <c:pt idx="13">
                  <c:v>11.978</c:v>
                </c:pt>
                <c:pt idx="14">
                  <c:v>12.577</c:v>
                </c:pt>
                <c:pt idx="15">
                  <c:v>13.173</c:v>
                </c:pt>
                <c:pt idx="16">
                  <c:v>13.227</c:v>
                </c:pt>
                <c:pt idx="17">
                  <c:v>13.228</c:v>
                </c:pt>
                <c:pt idx="18">
                  <c:v>13.228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4E-664B-A3B4-F9961F2CF6E4}"/>
            </c:ext>
          </c:extLst>
        </c:ser>
        <c:ser>
          <c:idx val="3"/>
          <c:order val="2"/>
          <c:tx>
            <c:v>1kΩ負荷</c:v>
          </c:tx>
          <c:spPr>
            <a:ln w="38100" cap="rnd">
              <a:noFill/>
              <a:round/>
            </a:ln>
            <a:effectLst/>
          </c:spPr>
          <c:xVal>
            <c:numRef>
              <c:f>'周東いる班(非反転増幅回路)'!$W$2:$W$54</c:f>
              <c:numCache>
                <c:formatCode>General</c:formatCode>
                <c:ptCount val="53"/>
                <c:pt idx="0">
                  <c:v>-5</c:v>
                </c:pt>
                <c:pt idx="1">
                  <c:v>-4.8</c:v>
                </c:pt>
                <c:pt idx="2">
                  <c:v>-4.5999999999999996</c:v>
                </c:pt>
                <c:pt idx="3">
                  <c:v>-4.4000000000000004</c:v>
                </c:pt>
                <c:pt idx="4">
                  <c:v>-4.2</c:v>
                </c:pt>
                <c:pt idx="5">
                  <c:v>-4</c:v>
                </c:pt>
                <c:pt idx="6">
                  <c:v>-3.8</c:v>
                </c:pt>
                <c:pt idx="7">
                  <c:v>-3.6</c:v>
                </c:pt>
                <c:pt idx="8">
                  <c:v>-3.4</c:v>
                </c:pt>
                <c:pt idx="9">
                  <c:v>-3.2</c:v>
                </c:pt>
                <c:pt idx="10">
                  <c:v>-3</c:v>
                </c:pt>
                <c:pt idx="11">
                  <c:v>-2</c:v>
                </c:pt>
                <c:pt idx="12">
                  <c:v>-1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3.2</c:v>
                </c:pt>
                <c:pt idx="18">
                  <c:v>3.4</c:v>
                </c:pt>
                <c:pt idx="19">
                  <c:v>3.6</c:v>
                </c:pt>
                <c:pt idx="20">
                  <c:v>3.8</c:v>
                </c:pt>
                <c:pt idx="21">
                  <c:v>4</c:v>
                </c:pt>
                <c:pt idx="22">
                  <c:v>4.2</c:v>
                </c:pt>
                <c:pt idx="23">
                  <c:v>4.4000000000000004</c:v>
                </c:pt>
                <c:pt idx="24">
                  <c:v>4.5999999999999996</c:v>
                </c:pt>
                <c:pt idx="25">
                  <c:v>4.8</c:v>
                </c:pt>
                <c:pt idx="26">
                  <c:v>5</c:v>
                </c:pt>
              </c:numCache>
            </c:numRef>
          </c:xVal>
          <c:yVal>
            <c:numRef>
              <c:f>'周東いる班(非反転増幅回路)'!$X$2:$X$54</c:f>
              <c:numCache>
                <c:formatCode>General</c:formatCode>
                <c:ptCount val="53"/>
                <c:pt idx="0">
                  <c:v>-11.76</c:v>
                </c:pt>
                <c:pt idx="1">
                  <c:v>-11.749000000000001</c:v>
                </c:pt>
                <c:pt idx="2">
                  <c:v>-11.743</c:v>
                </c:pt>
                <c:pt idx="3">
                  <c:v>-11.739000000000001</c:v>
                </c:pt>
                <c:pt idx="4">
                  <c:v>-11.734</c:v>
                </c:pt>
                <c:pt idx="5">
                  <c:v>-11.728999999999999</c:v>
                </c:pt>
                <c:pt idx="6">
                  <c:v>-11.366</c:v>
                </c:pt>
                <c:pt idx="7">
                  <c:v>-10.766999999999999</c:v>
                </c:pt>
                <c:pt idx="8">
                  <c:v>-10.167999999999999</c:v>
                </c:pt>
                <c:pt idx="9">
                  <c:v>-9.57</c:v>
                </c:pt>
                <c:pt idx="10">
                  <c:v>-8.9730000000000008</c:v>
                </c:pt>
                <c:pt idx="11">
                  <c:v>-5.98</c:v>
                </c:pt>
                <c:pt idx="12">
                  <c:v>-2.9870000000000001</c:v>
                </c:pt>
                <c:pt idx="13">
                  <c:v>6.0000000000000001E-3</c:v>
                </c:pt>
                <c:pt idx="14">
                  <c:v>2.9990000000000001</c:v>
                </c:pt>
                <c:pt idx="15">
                  <c:v>5.992</c:v>
                </c:pt>
                <c:pt idx="16">
                  <c:v>8.9849999999999994</c:v>
                </c:pt>
                <c:pt idx="17">
                  <c:v>9.5809999999999995</c:v>
                </c:pt>
                <c:pt idx="18">
                  <c:v>10.18</c:v>
                </c:pt>
                <c:pt idx="19">
                  <c:v>10.779</c:v>
                </c:pt>
                <c:pt idx="20">
                  <c:v>11.377000000000001</c:v>
                </c:pt>
                <c:pt idx="21">
                  <c:v>11.977</c:v>
                </c:pt>
                <c:pt idx="22">
                  <c:v>12.574999999999999</c:v>
                </c:pt>
                <c:pt idx="23">
                  <c:v>12.750999999999999</c:v>
                </c:pt>
                <c:pt idx="24">
                  <c:v>12.752000000000001</c:v>
                </c:pt>
                <c:pt idx="25">
                  <c:v>12.752000000000001</c:v>
                </c:pt>
                <c:pt idx="26">
                  <c:v>12.753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4E-664B-A3B4-F9961F2CF6E4}"/>
            </c:ext>
          </c:extLst>
        </c:ser>
        <c:ser>
          <c:idx val="0"/>
          <c:order val="3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'周東いる班(非反転増幅回路)'!$AG$2:$AG$50</c:f>
              <c:numCache>
                <c:formatCode>0.0</c:formatCode>
                <c:ptCount val="49"/>
                <c:pt idx="0">
                  <c:v>-5</c:v>
                </c:pt>
                <c:pt idx="1">
                  <c:v>-4.8</c:v>
                </c:pt>
                <c:pt idx="2">
                  <c:v>-4.5999999999999996</c:v>
                </c:pt>
                <c:pt idx="3">
                  <c:v>-4.4000000000000004</c:v>
                </c:pt>
                <c:pt idx="4">
                  <c:v>-4.2</c:v>
                </c:pt>
                <c:pt idx="5">
                  <c:v>-4</c:v>
                </c:pt>
                <c:pt idx="6">
                  <c:v>-3.8</c:v>
                </c:pt>
                <c:pt idx="7">
                  <c:v>-3.6</c:v>
                </c:pt>
                <c:pt idx="8">
                  <c:v>-3.4</c:v>
                </c:pt>
                <c:pt idx="9">
                  <c:v>-3.2</c:v>
                </c:pt>
                <c:pt idx="10">
                  <c:v>-3</c:v>
                </c:pt>
                <c:pt idx="11">
                  <c:v>-2</c:v>
                </c:pt>
                <c:pt idx="12">
                  <c:v>-1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3.2</c:v>
                </c:pt>
                <c:pt idx="18">
                  <c:v>3.4</c:v>
                </c:pt>
                <c:pt idx="19">
                  <c:v>3.6</c:v>
                </c:pt>
                <c:pt idx="20">
                  <c:v>3.8</c:v>
                </c:pt>
                <c:pt idx="21">
                  <c:v>4</c:v>
                </c:pt>
                <c:pt idx="22">
                  <c:v>4.2</c:v>
                </c:pt>
                <c:pt idx="23">
                  <c:v>4.4000000000000004</c:v>
                </c:pt>
                <c:pt idx="24">
                  <c:v>4.5999999999999996</c:v>
                </c:pt>
                <c:pt idx="25">
                  <c:v>4.8</c:v>
                </c:pt>
                <c:pt idx="26">
                  <c:v>5</c:v>
                </c:pt>
              </c:numCache>
            </c:numRef>
          </c:xVal>
          <c:yVal>
            <c:numRef>
              <c:f>'周東いる班(非反転増幅回路)'!$AH$2:$AH$50</c:f>
              <c:numCache>
                <c:formatCode>0.00</c:formatCode>
                <c:ptCount val="49"/>
                <c:pt idx="0">
                  <c:v>-10.65</c:v>
                </c:pt>
                <c:pt idx="1">
                  <c:v>-10.618</c:v>
                </c:pt>
                <c:pt idx="2">
                  <c:v>-10.606</c:v>
                </c:pt>
                <c:pt idx="3">
                  <c:v>-10.599</c:v>
                </c:pt>
                <c:pt idx="4">
                  <c:v>-10.593999999999999</c:v>
                </c:pt>
                <c:pt idx="5">
                  <c:v>-10.59</c:v>
                </c:pt>
                <c:pt idx="6">
                  <c:v>-10.586</c:v>
                </c:pt>
                <c:pt idx="7">
                  <c:v>-10.58</c:v>
                </c:pt>
                <c:pt idx="8">
                  <c:v>-10.169</c:v>
                </c:pt>
                <c:pt idx="9">
                  <c:v>-9.5690000000000008</c:v>
                </c:pt>
                <c:pt idx="10">
                  <c:v>-8.9710000000000001</c:v>
                </c:pt>
                <c:pt idx="11">
                  <c:v>-5.9790000000000001</c:v>
                </c:pt>
                <c:pt idx="12">
                  <c:v>-2.9870000000000001</c:v>
                </c:pt>
                <c:pt idx="13">
                  <c:v>5.0000000000000001E-3</c:v>
                </c:pt>
                <c:pt idx="14">
                  <c:v>2.9980000000000002</c:v>
                </c:pt>
                <c:pt idx="15">
                  <c:v>5.99</c:v>
                </c:pt>
                <c:pt idx="16">
                  <c:v>8.9819999999999993</c:v>
                </c:pt>
                <c:pt idx="17">
                  <c:v>9.58</c:v>
                </c:pt>
                <c:pt idx="18">
                  <c:v>10.179</c:v>
                </c:pt>
                <c:pt idx="19">
                  <c:v>10.776999999999999</c:v>
                </c:pt>
                <c:pt idx="20">
                  <c:v>11.375999999999999</c:v>
                </c:pt>
                <c:pt idx="21">
                  <c:v>11.974</c:v>
                </c:pt>
                <c:pt idx="22">
                  <c:v>12.372999999999999</c:v>
                </c:pt>
                <c:pt idx="23">
                  <c:v>12.374000000000001</c:v>
                </c:pt>
                <c:pt idx="24">
                  <c:v>12.375999999999999</c:v>
                </c:pt>
                <c:pt idx="25">
                  <c:v>12.377000000000001</c:v>
                </c:pt>
                <c:pt idx="26">
                  <c:v>12.377000000000001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4E-664B-A3B4-F9961F2CF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At val="-20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At val="-6"/>
        <c:crossBetween val="midCat"/>
      </c:valAx>
    </c:plotArea>
    <c:legend>
      <c:legendPos val="t"/>
      <c:layout>
        <c:manualLayout>
          <c:xMode val="edge"/>
          <c:yMode val="edge"/>
          <c:x val="0.66316232960473176"/>
          <c:y val="0.44070584372715826"/>
          <c:w val="0.31849362966919575"/>
          <c:h val="0.29917252160145857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無負荷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'周東いる班(ボルテージフォロワ) '!$B$2:$B$50</c:f>
              <c:numCache>
                <c:formatCode>General</c:formatCode>
                <c:ptCount val="49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'周東いる班(ボルテージフォロワ) '!$C$2:$C$50</c:f>
              <c:numCache>
                <c:formatCode>General</c:formatCode>
                <c:ptCount val="49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-5.9989999999999997</c:v>
                </c:pt>
                <c:pt idx="5">
                  <c:v>-4.9989999999999997</c:v>
                </c:pt>
                <c:pt idx="6">
                  <c:v>-3.9990000000000001</c:v>
                </c:pt>
                <c:pt idx="7">
                  <c:v>-2.9990000000000001</c:v>
                </c:pt>
                <c:pt idx="8">
                  <c:v>-1.998</c:v>
                </c:pt>
                <c:pt idx="9">
                  <c:v>-0.998</c:v>
                </c:pt>
                <c:pt idx="10">
                  <c:v>2E-3</c:v>
                </c:pt>
                <c:pt idx="11">
                  <c:v>1.002</c:v>
                </c:pt>
                <c:pt idx="12">
                  <c:v>2.0030000000000001</c:v>
                </c:pt>
                <c:pt idx="13">
                  <c:v>3.0030000000000001</c:v>
                </c:pt>
                <c:pt idx="14">
                  <c:v>4.0030000000000001</c:v>
                </c:pt>
                <c:pt idx="15">
                  <c:v>5.0030000000000001</c:v>
                </c:pt>
                <c:pt idx="16">
                  <c:v>6.0039999999999996</c:v>
                </c:pt>
                <c:pt idx="17">
                  <c:v>7.0039999999999996</c:v>
                </c:pt>
                <c:pt idx="18">
                  <c:v>8.0039999999999996</c:v>
                </c:pt>
                <c:pt idx="19">
                  <c:v>9.0039999999999996</c:v>
                </c:pt>
                <c:pt idx="20">
                  <c:v>10.004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1C-49B8-8A46-85CF3BE04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777072"/>
      </c:scatterChart>
      <c:valAx>
        <c:axId val="267727344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777072"/>
        <c:crossesAt val="-10"/>
        <c:crossBetween val="midCat"/>
      </c:valAx>
      <c:valAx>
        <c:axId val="112777072"/>
        <c:scaling>
          <c:orientation val="minMax"/>
          <c:min val="-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0"/>
                  <a:t>出力電圧</a:t>
                </a:r>
                <a:r>
                  <a:rPr lang="en-US" altLang="ja-JP" b="0"/>
                  <a:t>[V]</a:t>
                </a:r>
                <a:endParaRPr lang="ja-JP" alt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At val="-1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750Ω負荷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'周東いる班(ボルテージフォロワ) '!$N$2:$N$22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'周東いる班(ボルテージフォロワ) '!$O$2:$O$22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-5.9989999999999997</c:v>
                </c:pt>
                <c:pt idx="5">
                  <c:v>-4.9989999999999997</c:v>
                </c:pt>
                <c:pt idx="6">
                  <c:v>-3.9990000000000001</c:v>
                </c:pt>
                <c:pt idx="7">
                  <c:v>-2.9990000000000001</c:v>
                </c:pt>
                <c:pt idx="8">
                  <c:v>-1.998</c:v>
                </c:pt>
                <c:pt idx="9">
                  <c:v>-0.998</c:v>
                </c:pt>
                <c:pt idx="10">
                  <c:v>2E-3</c:v>
                </c:pt>
                <c:pt idx="11">
                  <c:v>1.002</c:v>
                </c:pt>
                <c:pt idx="12">
                  <c:v>2.0030000000000001</c:v>
                </c:pt>
                <c:pt idx="13">
                  <c:v>3.0030000000000001</c:v>
                </c:pt>
                <c:pt idx="14">
                  <c:v>4.0030000000000001</c:v>
                </c:pt>
                <c:pt idx="15">
                  <c:v>5.0030000000000001</c:v>
                </c:pt>
                <c:pt idx="16">
                  <c:v>6.0030000000000001</c:v>
                </c:pt>
                <c:pt idx="17">
                  <c:v>7.0039999999999996</c:v>
                </c:pt>
                <c:pt idx="18">
                  <c:v>8.0039999999999996</c:v>
                </c:pt>
                <c:pt idx="19">
                  <c:v>9.0039999999999996</c:v>
                </c:pt>
                <c:pt idx="20">
                  <c:v>10.004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FE-4860-AB41-11907D873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At val="-10"/>
        <c:crossBetween val="midCat"/>
      </c:valAx>
      <c:valAx>
        <c:axId val="1595648927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At val="-1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76159230096238"/>
          <c:y val="3.0643208386196507E-2"/>
          <c:w val="0.85076618547681537"/>
          <c:h val="0.80458294345796677"/>
        </c:manualLayout>
      </c:layout>
      <c:scatterChart>
        <c:scatterStyle val="lineMarker"/>
        <c:varyColors val="0"/>
        <c:ser>
          <c:idx val="1"/>
          <c:order val="0"/>
          <c:tx>
            <c:v>無負荷</c:v>
          </c:tx>
          <c:spPr>
            <a:ln w="38100">
              <a:noFill/>
            </a:ln>
          </c:spPr>
          <c:xVal>
            <c:numRef>
              <c:f>'周東いる班(ボルテージフォロワ) '!$B$2:$B$22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'周東いる班(ボルテージフォロワ) '!$C$2:$C$22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-5.9989999999999997</c:v>
                </c:pt>
                <c:pt idx="5">
                  <c:v>-4.9989999999999997</c:v>
                </c:pt>
                <c:pt idx="6">
                  <c:v>-3.9990000000000001</c:v>
                </c:pt>
                <c:pt idx="7">
                  <c:v>-2.9990000000000001</c:v>
                </c:pt>
                <c:pt idx="8">
                  <c:v>-1.998</c:v>
                </c:pt>
                <c:pt idx="9">
                  <c:v>-0.998</c:v>
                </c:pt>
                <c:pt idx="10">
                  <c:v>2E-3</c:v>
                </c:pt>
                <c:pt idx="11">
                  <c:v>1.002</c:v>
                </c:pt>
                <c:pt idx="12">
                  <c:v>2.0030000000000001</c:v>
                </c:pt>
                <c:pt idx="13">
                  <c:v>3.0030000000000001</c:v>
                </c:pt>
                <c:pt idx="14">
                  <c:v>4.0030000000000001</c:v>
                </c:pt>
                <c:pt idx="15">
                  <c:v>5.0030000000000001</c:v>
                </c:pt>
                <c:pt idx="16">
                  <c:v>6.0039999999999996</c:v>
                </c:pt>
                <c:pt idx="17">
                  <c:v>7.0039999999999996</c:v>
                </c:pt>
                <c:pt idx="18">
                  <c:v>8.0039999999999996</c:v>
                </c:pt>
                <c:pt idx="19">
                  <c:v>9.0039999999999996</c:v>
                </c:pt>
                <c:pt idx="20">
                  <c:v>10.004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5D-404B-AA89-1EF3382F6935}"/>
            </c:ext>
          </c:extLst>
        </c:ser>
        <c:ser>
          <c:idx val="0"/>
          <c:order val="1"/>
          <c:tx>
            <c:v>750Ω負荷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9307595579621696"/>
                  <c:y val="0.24931202250450829"/>
                </c:manualLayout>
              </c:layout>
              <c:numFmt formatCode="General" sourceLinked="0"/>
            </c:trendlineLbl>
          </c:trendline>
          <c:xVal>
            <c:numRef>
              <c:f>'周東いる班(ボルテージフォロワ) '!$N$2:$N$22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'周東いる班(ボルテージフォロワ) '!$O$2:$O$22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-5.9989999999999997</c:v>
                </c:pt>
                <c:pt idx="5">
                  <c:v>-4.9989999999999997</c:v>
                </c:pt>
                <c:pt idx="6">
                  <c:v>-3.9990000000000001</c:v>
                </c:pt>
                <c:pt idx="7">
                  <c:v>-2.9990000000000001</c:v>
                </c:pt>
                <c:pt idx="8">
                  <c:v>-1.998</c:v>
                </c:pt>
                <c:pt idx="9">
                  <c:v>-0.998</c:v>
                </c:pt>
                <c:pt idx="10">
                  <c:v>2E-3</c:v>
                </c:pt>
                <c:pt idx="11">
                  <c:v>1.002</c:v>
                </c:pt>
                <c:pt idx="12">
                  <c:v>2.0030000000000001</c:v>
                </c:pt>
                <c:pt idx="13">
                  <c:v>3.0030000000000001</c:v>
                </c:pt>
                <c:pt idx="14">
                  <c:v>4.0030000000000001</c:v>
                </c:pt>
                <c:pt idx="15">
                  <c:v>5.0030000000000001</c:v>
                </c:pt>
                <c:pt idx="16">
                  <c:v>6.0030000000000001</c:v>
                </c:pt>
                <c:pt idx="17">
                  <c:v>7.0039999999999996</c:v>
                </c:pt>
                <c:pt idx="18">
                  <c:v>8.0039999999999996</c:v>
                </c:pt>
                <c:pt idx="19">
                  <c:v>9.0039999999999996</c:v>
                </c:pt>
                <c:pt idx="20">
                  <c:v>10.004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5D-404B-AA89-1EF3382F6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At val="-10"/>
        <c:crossBetween val="midCat"/>
      </c:valAx>
      <c:valAx>
        <c:axId val="1595648927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At val="-10"/>
        <c:crossBetween val="midCat"/>
      </c:valAx>
    </c:plotArea>
    <c:legend>
      <c:legendPos val="t"/>
      <c:layout>
        <c:manualLayout>
          <c:xMode val="edge"/>
          <c:yMode val="edge"/>
          <c:x val="0.71521121329815152"/>
          <c:y val="0.52589080493916784"/>
          <c:w val="0.27686220566249925"/>
          <c:h val="0.29917252160145857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無負荷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'周東いる班(ボルテージフォロワ100kΩ)'!$B$2:$B$50</c:f>
              <c:numCache>
                <c:formatCode>General</c:formatCode>
                <c:ptCount val="49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'周東いる班(ボルテージフォロワ100kΩ)'!$C$2:$C$50</c:f>
              <c:numCache>
                <c:formatCode>General</c:formatCode>
                <c:ptCount val="49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-5.9989999999999997</c:v>
                </c:pt>
                <c:pt idx="5">
                  <c:v>-4.9989999999999997</c:v>
                </c:pt>
                <c:pt idx="6">
                  <c:v>-3.9990000000000001</c:v>
                </c:pt>
                <c:pt idx="7">
                  <c:v>-2.9990000000000001</c:v>
                </c:pt>
                <c:pt idx="8">
                  <c:v>-1.998</c:v>
                </c:pt>
                <c:pt idx="9">
                  <c:v>-0.998</c:v>
                </c:pt>
                <c:pt idx="10">
                  <c:v>2E-3</c:v>
                </c:pt>
                <c:pt idx="11">
                  <c:v>1.002</c:v>
                </c:pt>
                <c:pt idx="12">
                  <c:v>2.0019999999999998</c:v>
                </c:pt>
                <c:pt idx="13">
                  <c:v>3.0030000000000001</c:v>
                </c:pt>
                <c:pt idx="14">
                  <c:v>4.0030000000000001</c:v>
                </c:pt>
                <c:pt idx="15">
                  <c:v>5.0030000000000001</c:v>
                </c:pt>
                <c:pt idx="16">
                  <c:v>6.0030000000000001</c:v>
                </c:pt>
                <c:pt idx="17">
                  <c:v>7.0039999999999996</c:v>
                </c:pt>
                <c:pt idx="18">
                  <c:v>8.0039999999999996</c:v>
                </c:pt>
                <c:pt idx="19">
                  <c:v>9.0039999999999996</c:v>
                </c:pt>
                <c:pt idx="20">
                  <c:v>10.004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C0-EC49-8D20-5C87B7DD5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777072"/>
      </c:scatterChart>
      <c:valAx>
        <c:axId val="267727344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777072"/>
        <c:crossesAt val="-10"/>
        <c:crossBetween val="midCat"/>
      </c:valAx>
      <c:valAx>
        <c:axId val="112777072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0"/>
                  <a:t>出力電圧</a:t>
                </a:r>
                <a:r>
                  <a:rPr lang="en-US" altLang="ja-JP" b="0"/>
                  <a:t>[V]</a:t>
                </a:r>
                <a:endParaRPr lang="ja-JP" alt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At val="-1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750Ω負荷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'周東いる班(ボルテージフォロワ100kΩ)'!$M$2:$M$22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'周東いる班(ボルテージフォロワ100kΩ)'!$N$2:$N$22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-5.9989999999999997</c:v>
                </c:pt>
                <c:pt idx="5">
                  <c:v>-4.9989999999999997</c:v>
                </c:pt>
                <c:pt idx="6">
                  <c:v>-3.9990000000000001</c:v>
                </c:pt>
                <c:pt idx="7">
                  <c:v>-2.9990000000000001</c:v>
                </c:pt>
                <c:pt idx="8">
                  <c:v>-1.998</c:v>
                </c:pt>
                <c:pt idx="9">
                  <c:v>-0.998</c:v>
                </c:pt>
                <c:pt idx="10">
                  <c:v>2E-3</c:v>
                </c:pt>
                <c:pt idx="11">
                  <c:v>1.002</c:v>
                </c:pt>
                <c:pt idx="12">
                  <c:v>2.0019999999999998</c:v>
                </c:pt>
                <c:pt idx="13">
                  <c:v>3.0030000000000001</c:v>
                </c:pt>
                <c:pt idx="14">
                  <c:v>4.0030000000000001</c:v>
                </c:pt>
                <c:pt idx="15">
                  <c:v>5.0030000000000001</c:v>
                </c:pt>
                <c:pt idx="16">
                  <c:v>6.0030000000000001</c:v>
                </c:pt>
                <c:pt idx="17">
                  <c:v>7.0039999999999996</c:v>
                </c:pt>
                <c:pt idx="18">
                  <c:v>8.0039999999999996</c:v>
                </c:pt>
                <c:pt idx="19">
                  <c:v>9.0039999999999996</c:v>
                </c:pt>
                <c:pt idx="20">
                  <c:v>10.004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C2-4346-B701-ED0237826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At val="-10"/>
        <c:crossBetween val="midCat"/>
      </c:valAx>
      <c:valAx>
        <c:axId val="1595648927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At val="-1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76159230096238"/>
          <c:y val="3.0643208386196507E-2"/>
          <c:w val="0.85076618547681537"/>
          <c:h val="0.80458294345796677"/>
        </c:manualLayout>
      </c:layout>
      <c:scatterChart>
        <c:scatterStyle val="lineMarker"/>
        <c:varyColors val="0"/>
        <c:ser>
          <c:idx val="1"/>
          <c:order val="0"/>
          <c:tx>
            <c:v>無負荷</c:v>
          </c:tx>
          <c:spPr>
            <a:ln w="38100">
              <a:noFill/>
            </a:ln>
          </c:spPr>
          <c:xVal>
            <c:numRef>
              <c:f>'周東いる班(ボルテージフォロワ100kΩ)'!$B$2:$B$50</c:f>
              <c:numCache>
                <c:formatCode>General</c:formatCode>
                <c:ptCount val="49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'周東いる班(ボルテージフォロワ100kΩ)'!$C$2:$C$50</c:f>
              <c:numCache>
                <c:formatCode>General</c:formatCode>
                <c:ptCount val="49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-5.9989999999999997</c:v>
                </c:pt>
                <c:pt idx="5">
                  <c:v>-4.9989999999999997</c:v>
                </c:pt>
                <c:pt idx="6">
                  <c:v>-3.9990000000000001</c:v>
                </c:pt>
                <c:pt idx="7">
                  <c:v>-2.9990000000000001</c:v>
                </c:pt>
                <c:pt idx="8">
                  <c:v>-1.998</c:v>
                </c:pt>
                <c:pt idx="9">
                  <c:v>-0.998</c:v>
                </c:pt>
                <c:pt idx="10">
                  <c:v>2E-3</c:v>
                </c:pt>
                <c:pt idx="11">
                  <c:v>1.002</c:v>
                </c:pt>
                <c:pt idx="12">
                  <c:v>2.0019999999999998</c:v>
                </c:pt>
                <c:pt idx="13">
                  <c:v>3.0030000000000001</c:v>
                </c:pt>
                <c:pt idx="14">
                  <c:v>4.0030000000000001</c:v>
                </c:pt>
                <c:pt idx="15">
                  <c:v>5.0030000000000001</c:v>
                </c:pt>
                <c:pt idx="16">
                  <c:v>6.0030000000000001</c:v>
                </c:pt>
                <c:pt idx="17">
                  <c:v>7.0039999999999996</c:v>
                </c:pt>
                <c:pt idx="18">
                  <c:v>8.0039999999999996</c:v>
                </c:pt>
                <c:pt idx="19">
                  <c:v>9.0039999999999996</c:v>
                </c:pt>
                <c:pt idx="20">
                  <c:v>10.004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78-3142-B41B-A392B1B9BFC7}"/>
            </c:ext>
          </c:extLst>
        </c:ser>
        <c:ser>
          <c:idx val="0"/>
          <c:order val="1"/>
          <c:tx>
            <c:v>750Ω負荷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'周東いる班(ボルテージフォロワ100kΩ)'!$M$2:$M$22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'周東いる班(ボルテージフォロワ100kΩ)'!$N$2:$N$22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-5.9989999999999997</c:v>
                </c:pt>
                <c:pt idx="5">
                  <c:v>-4.9989999999999997</c:v>
                </c:pt>
                <c:pt idx="6">
                  <c:v>-3.9990000000000001</c:v>
                </c:pt>
                <c:pt idx="7">
                  <c:v>-2.9990000000000001</c:v>
                </c:pt>
                <c:pt idx="8">
                  <c:v>-1.998</c:v>
                </c:pt>
                <c:pt idx="9">
                  <c:v>-0.998</c:v>
                </c:pt>
                <c:pt idx="10">
                  <c:v>2E-3</c:v>
                </c:pt>
                <c:pt idx="11">
                  <c:v>1.002</c:v>
                </c:pt>
                <c:pt idx="12">
                  <c:v>2.0019999999999998</c:v>
                </c:pt>
                <c:pt idx="13">
                  <c:v>3.0030000000000001</c:v>
                </c:pt>
                <c:pt idx="14">
                  <c:v>4.0030000000000001</c:v>
                </c:pt>
                <c:pt idx="15">
                  <c:v>5.0030000000000001</c:v>
                </c:pt>
                <c:pt idx="16">
                  <c:v>6.0030000000000001</c:v>
                </c:pt>
                <c:pt idx="17">
                  <c:v>7.0039999999999996</c:v>
                </c:pt>
                <c:pt idx="18">
                  <c:v>8.0039999999999996</c:v>
                </c:pt>
                <c:pt idx="19">
                  <c:v>9.0039999999999996</c:v>
                </c:pt>
                <c:pt idx="20">
                  <c:v>10.004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78-3142-B41B-A392B1B9B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At val="-10"/>
        <c:crossBetween val="midCat"/>
      </c:valAx>
      <c:valAx>
        <c:axId val="1595648927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At val="-10"/>
        <c:crossBetween val="midCat"/>
      </c:valAx>
    </c:plotArea>
    <c:legend>
      <c:legendPos val="t"/>
      <c:layout>
        <c:manualLayout>
          <c:xMode val="edge"/>
          <c:yMode val="edge"/>
          <c:x val="0.65015337926509187"/>
          <c:y val="0.53961031548752691"/>
          <c:w val="0.31849362966919575"/>
          <c:h val="0.29917252160145857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無負荷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'周東いる班(加算回路)'!$B$2:$B$50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'周東いる班(加算回路)'!$C$2:$C$50</c:f>
              <c:numCache>
                <c:formatCode>General</c:formatCode>
                <c:ptCount val="49"/>
                <c:pt idx="0">
                  <c:v>-3.863</c:v>
                </c:pt>
                <c:pt idx="1">
                  <c:v>-4.2850000000000001</c:v>
                </c:pt>
                <c:pt idx="2">
                  <c:v>-4.7069999999999999</c:v>
                </c:pt>
                <c:pt idx="3">
                  <c:v>-5.1289999999999996</c:v>
                </c:pt>
                <c:pt idx="4">
                  <c:v>-5.55</c:v>
                </c:pt>
                <c:pt idx="5">
                  <c:v>-5.9720000000000004</c:v>
                </c:pt>
                <c:pt idx="6">
                  <c:v>-6.3940000000000001</c:v>
                </c:pt>
                <c:pt idx="7">
                  <c:v>-6.8159999999999998</c:v>
                </c:pt>
                <c:pt idx="8">
                  <c:v>-7.2370000000000001</c:v>
                </c:pt>
                <c:pt idx="9">
                  <c:v>-7.6589999999999998</c:v>
                </c:pt>
                <c:pt idx="10">
                  <c:v>-8.0809999999999995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F3-8F43-957D-77A8C611F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777072"/>
      </c:scatterChart>
      <c:valAx>
        <c:axId val="267727344"/>
        <c:scaling>
          <c:orientation val="minMax"/>
          <c:max val="5"/>
          <c:min val="-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E</a:t>
                </a:r>
                <a:r>
                  <a:rPr lang="en-US" altLang="ja-JP" baseline="-25000"/>
                  <a:t>b2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777072"/>
        <c:crossesAt val="-9"/>
        <c:crossBetween val="midCat"/>
      </c:valAx>
      <c:valAx>
        <c:axId val="112777072"/>
        <c:scaling>
          <c:orientation val="minMax"/>
          <c:max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0"/>
                  <a:t>出力電圧</a:t>
                </a:r>
                <a:r>
                  <a:rPr lang="en-US" altLang="ja-JP" b="0"/>
                  <a:t>[V]</a:t>
                </a:r>
                <a:endParaRPr lang="ja-JP" alt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At val="-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3kΩ負荷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'周東いる班(加算回路)'!$N$2:$N$50</c:f>
              <c:strCache>
                <c:ptCount val="4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21">
                  <c:v>出力電圧[V]</c:v>
                </c:pt>
                <c:pt idx="22">
                  <c:v>8.705</c:v>
                </c:pt>
                <c:pt idx="23">
                  <c:v>6.713</c:v>
                </c:pt>
                <c:pt idx="24">
                  <c:v>4.72</c:v>
                </c:pt>
                <c:pt idx="25">
                  <c:v>2.727</c:v>
                </c:pt>
                <c:pt idx="26">
                  <c:v>0.734</c:v>
                </c:pt>
                <c:pt idx="27">
                  <c:v>-1.259</c:v>
                </c:pt>
                <c:pt idx="28">
                  <c:v>-3.251</c:v>
                </c:pt>
                <c:pt idx="29">
                  <c:v>-5.245</c:v>
                </c:pt>
                <c:pt idx="30">
                  <c:v>-7.237</c:v>
                </c:pt>
                <c:pt idx="31">
                  <c:v>-9.229</c:v>
                </c:pt>
                <c:pt idx="32">
                  <c:v>-11.221</c:v>
                </c:pt>
                <c:pt idx="37">
                  <c:v>切片(b)</c:v>
                </c:pt>
                <c:pt idx="38">
                  <c:v>-1.27660</c:v>
                </c:pt>
                <c:pt idx="39">
                  <c:v>-1.25845</c:v>
                </c:pt>
                <c:pt idx="40">
                  <c:v>1.42106</c:v>
                </c:pt>
              </c:strCache>
            </c:strRef>
          </c:xVal>
          <c:yVal>
            <c:numRef>
              <c:f>'周東いる班(加算回路)'!$O$2:$O$50</c:f>
              <c:numCache>
                <c:formatCode>General</c:formatCode>
                <c:ptCount val="49"/>
                <c:pt idx="0">
                  <c:v>8.7050000000000001</c:v>
                </c:pt>
                <c:pt idx="1">
                  <c:v>6.7130000000000001</c:v>
                </c:pt>
                <c:pt idx="2">
                  <c:v>4.72</c:v>
                </c:pt>
                <c:pt idx="3">
                  <c:v>2.7269999999999999</c:v>
                </c:pt>
                <c:pt idx="4">
                  <c:v>0.73399999999999999</c:v>
                </c:pt>
                <c:pt idx="5">
                  <c:v>-1.2589999999999999</c:v>
                </c:pt>
                <c:pt idx="6">
                  <c:v>-3.2509999999999999</c:v>
                </c:pt>
                <c:pt idx="7">
                  <c:v>-5.2450000000000001</c:v>
                </c:pt>
                <c:pt idx="8">
                  <c:v>-7.2370000000000001</c:v>
                </c:pt>
                <c:pt idx="9">
                  <c:v>-9.2289999999999992</c:v>
                </c:pt>
                <c:pt idx="10">
                  <c:v>-11.221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FB-FA4A-B733-55D2CBEF8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69184"/>
        <c:axId val="81574480"/>
      </c:scatterChart>
      <c:valAx>
        <c:axId val="81669184"/>
        <c:scaling>
          <c:orientation val="minMax"/>
          <c:max val="5"/>
          <c:min val="-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E</a:t>
                </a:r>
                <a:r>
                  <a:rPr lang="en-US" altLang="ja-JP" baseline="-25000"/>
                  <a:t>b1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574480"/>
        <c:crossesAt val="-12"/>
        <c:crossBetween val="midCat"/>
      </c:valAx>
      <c:valAx>
        <c:axId val="81574480"/>
        <c:scaling>
          <c:orientation val="minMax"/>
          <c:max val="9"/>
          <c:min val="-1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669184"/>
        <c:crossesAt val="-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'周東いる班(加算回路)'!$W$2:$W$50</c:f>
              <c:numCache>
                <c:formatCode>General</c:formatCode>
                <c:ptCount val="49"/>
              </c:numCache>
            </c:numRef>
          </c:xVal>
          <c:yVal>
            <c:numRef>
              <c:f>'周東いる班(加算回路)'!$X$2:$X$50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A7-854B-8B01-71AFF4E79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576944"/>
      </c:scatterChart>
      <c:valAx>
        <c:axId val="26772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576944"/>
        <c:crosses val="autoZero"/>
        <c:crossBetween val="midCat"/>
      </c:valAx>
      <c:valAx>
        <c:axId val="112576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'周東いる班(加算回路)'!$AG$2:$AG$50</c:f>
              <c:numCache>
                <c:formatCode>General</c:formatCode>
                <c:ptCount val="49"/>
              </c:numCache>
            </c:numRef>
          </c:xVal>
          <c:yVal>
            <c:numRef>
              <c:f>'周東いる班(加算回路)'!$AH$2:$AH$50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DD-074F-95E2-59412A0EA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76159230096238"/>
          <c:y val="3.0643208386196507E-2"/>
          <c:w val="0.85076618547681537"/>
          <c:h val="0.80458294345796677"/>
        </c:manualLayout>
      </c:layout>
      <c:scatterChart>
        <c:scatterStyle val="lineMarker"/>
        <c:varyColors val="0"/>
        <c:ser>
          <c:idx val="1"/>
          <c:order val="0"/>
          <c:tx>
            <c:v>無負荷</c:v>
          </c:tx>
          <c:spPr>
            <a:ln w="38100">
              <a:noFill/>
            </a:ln>
          </c:spPr>
          <c:xVal>
            <c:numRef>
              <c:f>'周東いる班(加算回路)'!$B$2:$B$50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'周東いる班(加算回路)'!$C$2:$C$50</c:f>
              <c:numCache>
                <c:formatCode>General</c:formatCode>
                <c:ptCount val="49"/>
                <c:pt idx="0">
                  <c:v>-3.863</c:v>
                </c:pt>
                <c:pt idx="1">
                  <c:v>-4.2850000000000001</c:v>
                </c:pt>
                <c:pt idx="2">
                  <c:v>-4.7069999999999999</c:v>
                </c:pt>
                <c:pt idx="3">
                  <c:v>-5.1289999999999996</c:v>
                </c:pt>
                <c:pt idx="4">
                  <c:v>-5.55</c:v>
                </c:pt>
                <c:pt idx="5">
                  <c:v>-5.9720000000000004</c:v>
                </c:pt>
                <c:pt idx="6">
                  <c:v>-6.3940000000000001</c:v>
                </c:pt>
                <c:pt idx="7">
                  <c:v>-6.8159999999999998</c:v>
                </c:pt>
                <c:pt idx="8">
                  <c:v>-7.2370000000000001</c:v>
                </c:pt>
                <c:pt idx="9">
                  <c:v>-7.6589999999999998</c:v>
                </c:pt>
                <c:pt idx="10">
                  <c:v>-8.0809999999999995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CF-4845-A113-F35DACA648A1}"/>
            </c:ext>
          </c:extLst>
        </c:ser>
        <c:ser>
          <c:idx val="2"/>
          <c:order val="1"/>
          <c:tx>
            <c:v>3kΩ負荷</c:v>
          </c:tx>
          <c:spPr>
            <a:ln w="38100" cap="rnd">
              <a:noFill/>
              <a:round/>
            </a:ln>
            <a:effectLst/>
          </c:spPr>
          <c:xVal>
            <c:strRef>
              <c:f>'周東いる班(加算回路)'!$N$2:$N$50</c:f>
              <c:strCache>
                <c:ptCount val="4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21">
                  <c:v>出力電圧[V]</c:v>
                </c:pt>
                <c:pt idx="22">
                  <c:v>8.705</c:v>
                </c:pt>
                <c:pt idx="23">
                  <c:v>6.713</c:v>
                </c:pt>
                <c:pt idx="24">
                  <c:v>4.72</c:v>
                </c:pt>
                <c:pt idx="25">
                  <c:v>2.727</c:v>
                </c:pt>
                <c:pt idx="26">
                  <c:v>0.734</c:v>
                </c:pt>
                <c:pt idx="27">
                  <c:v>-1.259</c:v>
                </c:pt>
                <c:pt idx="28">
                  <c:v>-3.251</c:v>
                </c:pt>
                <c:pt idx="29">
                  <c:v>-5.245</c:v>
                </c:pt>
                <c:pt idx="30">
                  <c:v>-7.237</c:v>
                </c:pt>
                <c:pt idx="31">
                  <c:v>-9.229</c:v>
                </c:pt>
                <c:pt idx="32">
                  <c:v>-11.221</c:v>
                </c:pt>
                <c:pt idx="37">
                  <c:v>切片(b)</c:v>
                </c:pt>
                <c:pt idx="38">
                  <c:v>-1.27660</c:v>
                </c:pt>
                <c:pt idx="39">
                  <c:v>-1.25845</c:v>
                </c:pt>
                <c:pt idx="40">
                  <c:v>1.42106</c:v>
                </c:pt>
              </c:strCache>
            </c:strRef>
          </c:xVal>
          <c:yVal>
            <c:numRef>
              <c:f>'周東いる班(加算回路)'!$O$2:$O$50</c:f>
              <c:numCache>
                <c:formatCode>General</c:formatCode>
                <c:ptCount val="49"/>
                <c:pt idx="0">
                  <c:v>8.7050000000000001</c:v>
                </c:pt>
                <c:pt idx="1">
                  <c:v>6.7130000000000001</c:v>
                </c:pt>
                <c:pt idx="2">
                  <c:v>4.72</c:v>
                </c:pt>
                <c:pt idx="3">
                  <c:v>2.7269999999999999</c:v>
                </c:pt>
                <c:pt idx="4">
                  <c:v>0.73399999999999999</c:v>
                </c:pt>
                <c:pt idx="5">
                  <c:v>-1.2589999999999999</c:v>
                </c:pt>
                <c:pt idx="6">
                  <c:v>-3.2509999999999999</c:v>
                </c:pt>
                <c:pt idx="7">
                  <c:v>-5.2450000000000001</c:v>
                </c:pt>
                <c:pt idx="8">
                  <c:v>-7.2370000000000001</c:v>
                </c:pt>
                <c:pt idx="9">
                  <c:v>-9.2289999999999992</c:v>
                </c:pt>
                <c:pt idx="10">
                  <c:v>-11.221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CF-4845-A113-F35DACA648A1}"/>
            </c:ext>
          </c:extLst>
        </c:ser>
        <c:ser>
          <c:idx val="3"/>
          <c:order val="2"/>
          <c:tx>
            <c:v>1kΩ負荷</c:v>
          </c:tx>
          <c:spPr>
            <a:ln w="38100" cap="rnd">
              <a:noFill/>
              <a:round/>
            </a:ln>
            <a:effectLst/>
          </c:spPr>
          <c:xVal>
            <c:numRef>
              <c:f>'周東いる班(加算回路)'!$W$2:$W$50</c:f>
              <c:numCache>
                <c:formatCode>General</c:formatCode>
                <c:ptCount val="49"/>
              </c:numCache>
            </c:numRef>
          </c:xVal>
          <c:yVal>
            <c:numRef>
              <c:f>'周東いる班(加算回路)'!$X$2:$X$50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CF-4845-A113-F35DACA648A1}"/>
            </c:ext>
          </c:extLst>
        </c:ser>
        <c:ser>
          <c:idx val="0"/>
          <c:order val="3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'周東いる班(加算回路)'!$AG$2:$AG$50</c:f>
              <c:numCache>
                <c:formatCode>General</c:formatCode>
                <c:ptCount val="49"/>
              </c:numCache>
            </c:numRef>
          </c:xVal>
          <c:yVal>
            <c:numRef>
              <c:f>'周東いる班(加算回路)'!$AH$2:$AH$50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CF-4845-A113-F35DACA64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66056999125109361"/>
          <c:y val="2.2841960664365724E-2"/>
          <c:w val="0.31849362966919575"/>
          <c:h val="0.29917252160145857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無負荷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'周東いる班(減算回路)'!$B$2:$B$51</c:f>
              <c:numCache>
                <c:formatCode>General</c:formatCode>
                <c:ptCount val="50"/>
                <c:pt idx="0">
                  <c:v>-5</c:v>
                </c:pt>
                <c:pt idx="1">
                  <c:v>-4.8</c:v>
                </c:pt>
                <c:pt idx="2">
                  <c:v>-4.5999999999999996</c:v>
                </c:pt>
                <c:pt idx="3">
                  <c:v>-4.4000000000000004</c:v>
                </c:pt>
                <c:pt idx="4">
                  <c:v>-4.2</c:v>
                </c:pt>
                <c:pt idx="5">
                  <c:v>-4</c:v>
                </c:pt>
                <c:pt idx="6">
                  <c:v>-3.8</c:v>
                </c:pt>
                <c:pt idx="7">
                  <c:v>-3.6</c:v>
                </c:pt>
                <c:pt idx="8">
                  <c:v>-3.4</c:v>
                </c:pt>
                <c:pt idx="9">
                  <c:v>-3.2</c:v>
                </c:pt>
                <c:pt idx="10">
                  <c:v>-3</c:v>
                </c:pt>
                <c:pt idx="11">
                  <c:v>-2</c:v>
                </c:pt>
                <c:pt idx="12">
                  <c:v>-1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</c:numCache>
            </c:numRef>
          </c:xVal>
          <c:yVal>
            <c:numRef>
              <c:f>'周東いる班(減算回路)'!$C$2:$C$51</c:f>
              <c:numCache>
                <c:formatCode>General</c:formatCode>
                <c:ptCount val="50"/>
                <c:pt idx="0">
                  <c:v>13.407</c:v>
                </c:pt>
                <c:pt idx="1">
                  <c:v>13.407</c:v>
                </c:pt>
                <c:pt idx="2">
                  <c:v>13.407999999999999</c:v>
                </c:pt>
                <c:pt idx="3">
                  <c:v>13.407999999999999</c:v>
                </c:pt>
                <c:pt idx="4">
                  <c:v>13.407999999999999</c:v>
                </c:pt>
                <c:pt idx="5">
                  <c:v>13.409000000000001</c:v>
                </c:pt>
                <c:pt idx="6">
                  <c:v>13.407999999999999</c:v>
                </c:pt>
                <c:pt idx="7">
                  <c:v>13.143000000000001</c:v>
                </c:pt>
                <c:pt idx="8">
                  <c:v>12.746</c:v>
                </c:pt>
                <c:pt idx="9">
                  <c:v>12.347</c:v>
                </c:pt>
                <c:pt idx="10">
                  <c:v>11.95</c:v>
                </c:pt>
                <c:pt idx="11">
                  <c:v>9.9570000000000007</c:v>
                </c:pt>
                <c:pt idx="12">
                  <c:v>7.9640000000000004</c:v>
                </c:pt>
                <c:pt idx="13">
                  <c:v>5.9710000000000001</c:v>
                </c:pt>
                <c:pt idx="14">
                  <c:v>3.9780000000000002</c:v>
                </c:pt>
                <c:pt idx="15">
                  <c:v>1.9850000000000001</c:v>
                </c:pt>
                <c:pt idx="16">
                  <c:v>8.0000000000000002E-3</c:v>
                </c:pt>
                <c:pt idx="17">
                  <c:v>-2.0009999999999999</c:v>
                </c:pt>
                <c:pt idx="18">
                  <c:v>-3.9940000000000002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E8-B74A-8A29-96E534F6E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777072"/>
      </c:scatterChart>
      <c:valAx>
        <c:axId val="267727344"/>
        <c:scaling>
          <c:orientation val="minMax"/>
          <c:max val="5"/>
          <c:min val="-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E</a:t>
                </a:r>
                <a:r>
                  <a:rPr lang="en-US" altLang="ja-JP" baseline="-25000"/>
                  <a:t>b1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777072"/>
        <c:crossesAt val="-5"/>
        <c:crossBetween val="midCat"/>
      </c:valAx>
      <c:valAx>
        <c:axId val="112777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0"/>
                  <a:t>出力電圧</a:t>
                </a:r>
                <a:r>
                  <a:rPr lang="en-US" altLang="ja-JP" b="0"/>
                  <a:t>[V]</a:t>
                </a:r>
                <a:endParaRPr lang="ja-JP" alt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At val="-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3kΩ負荷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'周東いる班(減算回路)'!$N$2:$N$50</c:f>
              <c:numCache>
                <c:formatCode>General</c:formatCode>
                <c:ptCount val="49"/>
                <c:pt idx="0">
                  <c:v>-5</c:v>
                </c:pt>
                <c:pt idx="1">
                  <c:v>-4.8</c:v>
                </c:pt>
                <c:pt idx="2">
                  <c:v>-4.5999999999999996</c:v>
                </c:pt>
                <c:pt idx="3">
                  <c:v>-4.4000000000000004</c:v>
                </c:pt>
                <c:pt idx="4">
                  <c:v>-4.2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</c:numCache>
            </c:numRef>
          </c:xVal>
          <c:yVal>
            <c:numRef>
              <c:f>'周東いる班(減算回路)'!$O$2:$O$50</c:f>
              <c:numCache>
                <c:formatCode>General</c:formatCode>
                <c:ptCount val="49"/>
                <c:pt idx="0">
                  <c:v>-14.241</c:v>
                </c:pt>
                <c:pt idx="1">
                  <c:v>-14.228</c:v>
                </c:pt>
                <c:pt idx="2">
                  <c:v>-14.182</c:v>
                </c:pt>
                <c:pt idx="3">
                  <c:v>-14.124000000000001</c:v>
                </c:pt>
                <c:pt idx="4">
                  <c:v>-14.051</c:v>
                </c:pt>
                <c:pt idx="5">
                  <c:v>-13.914999999999999</c:v>
                </c:pt>
                <c:pt idx="6">
                  <c:v>-11.936</c:v>
                </c:pt>
                <c:pt idx="7">
                  <c:v>-9.9480000000000004</c:v>
                </c:pt>
                <c:pt idx="8">
                  <c:v>-7.96</c:v>
                </c:pt>
                <c:pt idx="9">
                  <c:v>-5.9729999999999999</c:v>
                </c:pt>
                <c:pt idx="10">
                  <c:v>-3.9849999999999999</c:v>
                </c:pt>
                <c:pt idx="11">
                  <c:v>-1.996</c:v>
                </c:pt>
                <c:pt idx="12">
                  <c:v>-8.0000000000000002E-3</c:v>
                </c:pt>
                <c:pt idx="13">
                  <c:v>1.98</c:v>
                </c:pt>
                <c:pt idx="14">
                  <c:v>3.9689999999999999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21-BB4D-A719-47103E824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69184"/>
        <c:axId val="81574480"/>
      </c:scatterChart>
      <c:valAx>
        <c:axId val="81669184"/>
        <c:scaling>
          <c:orientation val="minMax"/>
          <c:max val="5"/>
          <c:min val="-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E</a:t>
                </a:r>
                <a:r>
                  <a:rPr lang="en-US" altLang="ja-JP" baseline="-25000"/>
                  <a:t>a1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574480"/>
        <c:crossesAt val="-15"/>
        <c:crossBetween val="midCat"/>
      </c:valAx>
      <c:valAx>
        <c:axId val="81574480"/>
        <c:scaling>
          <c:orientation val="minMax"/>
          <c:min val="-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669184"/>
        <c:crossesAt val="-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'周東いる班(減算回路)'!$W$2:$W$50</c:f>
              <c:numCache>
                <c:formatCode>General</c:formatCode>
                <c:ptCount val="49"/>
              </c:numCache>
            </c:numRef>
          </c:xVal>
          <c:yVal>
            <c:numRef>
              <c:f>'周東いる班(減算回路)'!$X$2:$X$50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47-D747-B265-633A45CE3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576944"/>
      </c:scatterChart>
      <c:valAx>
        <c:axId val="26772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576944"/>
        <c:crosses val="autoZero"/>
        <c:crossBetween val="midCat"/>
      </c:valAx>
      <c:valAx>
        <c:axId val="112576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'周東いる班(減算回路)'!$AG$2:$AG$50</c:f>
              <c:numCache>
                <c:formatCode>General</c:formatCode>
                <c:ptCount val="49"/>
              </c:numCache>
            </c:numRef>
          </c:xVal>
          <c:yVal>
            <c:numRef>
              <c:f>'周東いる班(減算回路)'!$AH$2:$AH$50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78-3F41-9440-A5157E011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76159230096238"/>
          <c:y val="3.0643208386196507E-2"/>
          <c:w val="0.85076618547681537"/>
          <c:h val="0.80458294345796677"/>
        </c:manualLayout>
      </c:layout>
      <c:scatterChart>
        <c:scatterStyle val="lineMarker"/>
        <c:varyColors val="0"/>
        <c:ser>
          <c:idx val="1"/>
          <c:order val="0"/>
          <c:tx>
            <c:v>無負荷</c:v>
          </c:tx>
          <c:spPr>
            <a:ln w="38100">
              <a:noFill/>
            </a:ln>
          </c:spPr>
          <c:xVal>
            <c:numRef>
              <c:f>'周東いる班(減算回路)'!$B$2:$B$51</c:f>
              <c:numCache>
                <c:formatCode>General</c:formatCode>
                <c:ptCount val="50"/>
                <c:pt idx="0">
                  <c:v>-5</c:v>
                </c:pt>
                <c:pt idx="1">
                  <c:v>-4.8</c:v>
                </c:pt>
                <c:pt idx="2">
                  <c:v>-4.5999999999999996</c:v>
                </c:pt>
                <c:pt idx="3">
                  <c:v>-4.4000000000000004</c:v>
                </c:pt>
                <c:pt idx="4">
                  <c:v>-4.2</c:v>
                </c:pt>
                <c:pt idx="5">
                  <c:v>-4</c:v>
                </c:pt>
                <c:pt idx="6">
                  <c:v>-3.8</c:v>
                </c:pt>
                <c:pt idx="7">
                  <c:v>-3.6</c:v>
                </c:pt>
                <c:pt idx="8">
                  <c:v>-3.4</c:v>
                </c:pt>
                <c:pt idx="9">
                  <c:v>-3.2</c:v>
                </c:pt>
                <c:pt idx="10">
                  <c:v>-3</c:v>
                </c:pt>
                <c:pt idx="11">
                  <c:v>-2</c:v>
                </c:pt>
                <c:pt idx="12">
                  <c:v>-1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</c:numCache>
            </c:numRef>
          </c:xVal>
          <c:yVal>
            <c:numRef>
              <c:f>'周東いる班(減算回路)'!$C$2:$C$51</c:f>
              <c:numCache>
                <c:formatCode>General</c:formatCode>
                <c:ptCount val="50"/>
                <c:pt idx="0">
                  <c:v>13.407</c:v>
                </c:pt>
                <c:pt idx="1">
                  <c:v>13.407</c:v>
                </c:pt>
                <c:pt idx="2">
                  <c:v>13.407999999999999</c:v>
                </c:pt>
                <c:pt idx="3">
                  <c:v>13.407999999999999</c:v>
                </c:pt>
                <c:pt idx="4">
                  <c:v>13.407999999999999</c:v>
                </c:pt>
                <c:pt idx="5">
                  <c:v>13.409000000000001</c:v>
                </c:pt>
                <c:pt idx="6">
                  <c:v>13.407999999999999</c:v>
                </c:pt>
                <c:pt idx="7">
                  <c:v>13.143000000000001</c:v>
                </c:pt>
                <c:pt idx="8">
                  <c:v>12.746</c:v>
                </c:pt>
                <c:pt idx="9">
                  <c:v>12.347</c:v>
                </c:pt>
                <c:pt idx="10">
                  <c:v>11.95</c:v>
                </c:pt>
                <c:pt idx="11">
                  <c:v>9.9570000000000007</c:v>
                </c:pt>
                <c:pt idx="12">
                  <c:v>7.9640000000000004</c:v>
                </c:pt>
                <c:pt idx="13">
                  <c:v>5.9710000000000001</c:v>
                </c:pt>
                <c:pt idx="14">
                  <c:v>3.9780000000000002</c:v>
                </c:pt>
                <c:pt idx="15">
                  <c:v>1.9850000000000001</c:v>
                </c:pt>
                <c:pt idx="16">
                  <c:v>8.0000000000000002E-3</c:v>
                </c:pt>
                <c:pt idx="17">
                  <c:v>-2.0009999999999999</c:v>
                </c:pt>
                <c:pt idx="18">
                  <c:v>-3.9940000000000002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DF-044C-B609-5F5150084F5F}"/>
            </c:ext>
          </c:extLst>
        </c:ser>
        <c:ser>
          <c:idx val="2"/>
          <c:order val="1"/>
          <c:tx>
            <c:v>3kΩ負荷</c:v>
          </c:tx>
          <c:spPr>
            <a:ln w="38100" cap="rnd">
              <a:noFill/>
              <a:round/>
            </a:ln>
            <a:effectLst/>
          </c:spPr>
          <c:xVal>
            <c:numRef>
              <c:f>'周東いる班(減算回路)'!$N$2:$N$50</c:f>
              <c:numCache>
                <c:formatCode>General</c:formatCode>
                <c:ptCount val="49"/>
                <c:pt idx="0">
                  <c:v>-5</c:v>
                </c:pt>
                <c:pt idx="1">
                  <c:v>-4.8</c:v>
                </c:pt>
                <c:pt idx="2">
                  <c:v>-4.5999999999999996</c:v>
                </c:pt>
                <c:pt idx="3">
                  <c:v>-4.4000000000000004</c:v>
                </c:pt>
                <c:pt idx="4">
                  <c:v>-4.2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</c:numCache>
            </c:numRef>
          </c:xVal>
          <c:yVal>
            <c:numRef>
              <c:f>'周東いる班(減算回路)'!$O$2:$O$50</c:f>
              <c:numCache>
                <c:formatCode>General</c:formatCode>
                <c:ptCount val="49"/>
                <c:pt idx="0">
                  <c:v>-14.241</c:v>
                </c:pt>
                <c:pt idx="1">
                  <c:v>-14.228</c:v>
                </c:pt>
                <c:pt idx="2">
                  <c:v>-14.182</c:v>
                </c:pt>
                <c:pt idx="3">
                  <c:v>-14.124000000000001</c:v>
                </c:pt>
                <c:pt idx="4">
                  <c:v>-14.051</c:v>
                </c:pt>
                <c:pt idx="5">
                  <c:v>-13.914999999999999</c:v>
                </c:pt>
                <c:pt idx="6">
                  <c:v>-11.936</c:v>
                </c:pt>
                <c:pt idx="7">
                  <c:v>-9.9480000000000004</c:v>
                </c:pt>
                <c:pt idx="8">
                  <c:v>-7.96</c:v>
                </c:pt>
                <c:pt idx="9">
                  <c:v>-5.9729999999999999</c:v>
                </c:pt>
                <c:pt idx="10">
                  <c:v>-3.9849999999999999</c:v>
                </c:pt>
                <c:pt idx="11">
                  <c:v>-1.996</c:v>
                </c:pt>
                <c:pt idx="12">
                  <c:v>-8.0000000000000002E-3</c:v>
                </c:pt>
                <c:pt idx="13">
                  <c:v>1.98</c:v>
                </c:pt>
                <c:pt idx="14">
                  <c:v>3.9689999999999999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DF-044C-B609-5F5150084F5F}"/>
            </c:ext>
          </c:extLst>
        </c:ser>
        <c:ser>
          <c:idx val="3"/>
          <c:order val="2"/>
          <c:tx>
            <c:v>1kΩ負荷</c:v>
          </c:tx>
          <c:spPr>
            <a:ln w="38100" cap="rnd">
              <a:noFill/>
              <a:round/>
            </a:ln>
            <a:effectLst/>
          </c:spPr>
          <c:xVal>
            <c:numRef>
              <c:f>'周東いる班(減算回路)'!$W$2:$W$50</c:f>
              <c:numCache>
                <c:formatCode>General</c:formatCode>
                <c:ptCount val="49"/>
              </c:numCache>
            </c:numRef>
          </c:xVal>
          <c:yVal>
            <c:numRef>
              <c:f>'周東いる班(減算回路)'!$X$2:$X$50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DF-044C-B609-5F5150084F5F}"/>
            </c:ext>
          </c:extLst>
        </c:ser>
        <c:ser>
          <c:idx val="0"/>
          <c:order val="3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'周東いる班(減算回路)'!$AG$2:$AG$50</c:f>
              <c:numCache>
                <c:formatCode>General</c:formatCode>
                <c:ptCount val="49"/>
              </c:numCache>
            </c:numRef>
          </c:xVal>
          <c:yVal>
            <c:numRef>
              <c:f>'周東いる班(減算回路)'!$AH$2:$AH$50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DF-044C-B609-5F5150084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66056999125109361"/>
          <c:y val="2.2841960664365724E-2"/>
          <c:w val="0.31849362966919575"/>
          <c:h val="0.29917252160145857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無負荷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'いない班(反転増幅回路)'!$B$2:$B$50</c:f>
              <c:numCache>
                <c:formatCode>0.0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'いない班(反転増幅回路)'!$C$2:$C$50</c:f>
              <c:numCache>
                <c:formatCode>0.000</c:formatCode>
                <c:ptCount val="49"/>
                <c:pt idx="0">
                  <c:v>9.9710000000000001</c:v>
                </c:pt>
                <c:pt idx="1">
                  <c:v>7.9779999999999998</c:v>
                </c:pt>
                <c:pt idx="2">
                  <c:v>5.9850000000000003</c:v>
                </c:pt>
                <c:pt idx="3">
                  <c:v>3.992</c:v>
                </c:pt>
                <c:pt idx="4">
                  <c:v>1.9990000000000001</c:v>
                </c:pt>
                <c:pt idx="5">
                  <c:v>6.0000000000000001E-3</c:v>
                </c:pt>
                <c:pt idx="6">
                  <c:v>-1.9870000000000001</c:v>
                </c:pt>
                <c:pt idx="7">
                  <c:v>-3.98</c:v>
                </c:pt>
                <c:pt idx="8">
                  <c:v>-5.9729999999999999</c:v>
                </c:pt>
                <c:pt idx="9">
                  <c:v>-7.9660000000000002</c:v>
                </c:pt>
                <c:pt idx="10">
                  <c:v>-9.9589999999999996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FE-3D4E-8D95-C1ACCA4B0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777072"/>
      </c:scatterChart>
      <c:valAx>
        <c:axId val="26772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777072"/>
        <c:crosses val="autoZero"/>
        <c:crossBetween val="midCat"/>
      </c:valAx>
      <c:valAx>
        <c:axId val="112777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0"/>
                  <a:t>出力電圧</a:t>
                </a:r>
                <a:r>
                  <a:rPr lang="en-US" altLang="ja-JP" b="0"/>
                  <a:t>[V]</a:t>
                </a:r>
                <a:endParaRPr lang="ja-JP" alt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413433687697281E-2"/>
          <c:y val="5.6151499989315005E-2"/>
          <c:w val="0.87948182924333818"/>
          <c:h val="0.80473315878715712"/>
        </c:manualLayout>
      </c:layout>
      <c:scatterChart>
        <c:scatterStyle val="lineMarker"/>
        <c:varyColors val="0"/>
        <c:ser>
          <c:idx val="0"/>
          <c:order val="0"/>
          <c:tx>
            <c:v>3kΩ負荷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'いない班(反転増幅回路)'!$N$2:$N$50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'いない班(反転増幅回路)'!$O$2:$O$50</c:f>
              <c:numCache>
                <c:formatCode>General</c:formatCode>
                <c:ptCount val="49"/>
                <c:pt idx="0">
                  <c:v>10.012</c:v>
                </c:pt>
                <c:pt idx="1">
                  <c:v>8.01</c:v>
                </c:pt>
                <c:pt idx="2">
                  <c:v>6.008</c:v>
                </c:pt>
                <c:pt idx="3">
                  <c:v>4.0060000000000002</c:v>
                </c:pt>
                <c:pt idx="4">
                  <c:v>2.004</c:v>
                </c:pt>
                <c:pt idx="5">
                  <c:v>1.8259999999999999E-3</c:v>
                </c:pt>
                <c:pt idx="6">
                  <c:v>-2.0009999999999999</c:v>
                </c:pt>
                <c:pt idx="7">
                  <c:v>-4.0030000000000001</c:v>
                </c:pt>
                <c:pt idx="8">
                  <c:v>-6.0049999999999999</c:v>
                </c:pt>
                <c:pt idx="9">
                  <c:v>-8.0069999999999997</c:v>
                </c:pt>
                <c:pt idx="10">
                  <c:v>-10.009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C5-4147-8890-C6A71B66C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69184"/>
        <c:axId val="81574480"/>
      </c:scatterChart>
      <c:valAx>
        <c:axId val="81669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入力電圧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4623098653017368"/>
              <c:y val="0.888960408771129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574480"/>
        <c:crosses val="autoZero"/>
        <c:crossBetween val="midCat"/>
      </c:valAx>
      <c:valAx>
        <c:axId val="81574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出力電圧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6430561793682599E-2"/>
              <c:y val="0.330492475183173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66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'いない班(反転増幅回路)'!$W$2:$W$50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'いない班(反転増幅回路)'!$X$2:$X$50</c:f>
              <c:numCache>
                <c:formatCode>0.00</c:formatCode>
                <c:ptCount val="49"/>
                <c:pt idx="0" formatCode="General">
                  <c:v>10.002000000000001</c:v>
                </c:pt>
                <c:pt idx="1">
                  <c:v>8.01</c:v>
                </c:pt>
                <c:pt idx="2" formatCode="General">
                  <c:v>6.008</c:v>
                </c:pt>
                <c:pt idx="3" formatCode="General">
                  <c:v>4.0060000000000002</c:v>
                </c:pt>
                <c:pt idx="4" formatCode="General">
                  <c:v>2.004</c:v>
                </c:pt>
                <c:pt idx="5" formatCode="General">
                  <c:v>1.856E-3</c:v>
                </c:pt>
                <c:pt idx="6" formatCode="General">
                  <c:v>-2.0009999999999999</c:v>
                </c:pt>
                <c:pt idx="7" formatCode="General">
                  <c:v>-4.0030000000000001</c:v>
                </c:pt>
                <c:pt idx="8" formatCode="General">
                  <c:v>-6.0049999999999999</c:v>
                </c:pt>
                <c:pt idx="9" formatCode="General">
                  <c:v>-8.0069999999999997</c:v>
                </c:pt>
                <c:pt idx="10" formatCode="General">
                  <c:v>-10.009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74-BE49-BCCF-09ED011DA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576944"/>
      </c:scatterChart>
      <c:valAx>
        <c:axId val="26772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入力電圧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3775155537471805"/>
              <c:y val="0.888406653588178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576944"/>
        <c:crosses val="autoZero"/>
        <c:crossBetween val="midCat"/>
      </c:valAx>
      <c:valAx>
        <c:axId val="112576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出力電圧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'いない班(反転増幅回路)'!$AG$2:$AG$50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'いない班(反転増幅回路)'!$AH$2:$AH$50</c:f>
              <c:numCache>
                <c:formatCode>General</c:formatCode>
                <c:ptCount val="49"/>
                <c:pt idx="0">
                  <c:v>10.013999999999999</c:v>
                </c:pt>
                <c:pt idx="1">
                  <c:v>8.0109999999999992</c:v>
                </c:pt>
                <c:pt idx="2">
                  <c:v>6.0090000000000003</c:v>
                </c:pt>
                <c:pt idx="3">
                  <c:v>4.0060000000000002</c:v>
                </c:pt>
                <c:pt idx="4">
                  <c:v>2.004</c:v>
                </c:pt>
                <c:pt idx="5">
                  <c:v>1.7690000000000001E-2</c:v>
                </c:pt>
                <c:pt idx="6">
                  <c:v>-2.0009999999999999</c:v>
                </c:pt>
                <c:pt idx="7">
                  <c:v>-4.0039999999999996</c:v>
                </c:pt>
                <c:pt idx="8">
                  <c:v>-6.0060000000000002</c:v>
                </c:pt>
                <c:pt idx="9">
                  <c:v>-8.0079999999999991</c:v>
                </c:pt>
                <c:pt idx="10">
                  <c:v>-10.01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44-7F45-8551-1D25FB14E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入力電圧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3522772563949685"/>
              <c:y val="0.872647720630880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出力電圧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76159230096238"/>
          <c:y val="3.0643208386196507E-2"/>
          <c:w val="0.85076618547681537"/>
          <c:h val="0.80458294345796677"/>
        </c:manualLayout>
      </c:layout>
      <c:scatterChart>
        <c:scatterStyle val="lineMarker"/>
        <c:varyColors val="0"/>
        <c:ser>
          <c:idx val="1"/>
          <c:order val="0"/>
          <c:tx>
            <c:v>無負荷</c:v>
          </c:tx>
          <c:spPr>
            <a:ln w="38100">
              <a:noFill/>
            </a:ln>
          </c:spPr>
          <c:xVal>
            <c:numRef>
              <c:f>'いない班(反転増幅回路)'!$B$2:$B$50</c:f>
              <c:numCache>
                <c:formatCode>0.0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'いない班(反転増幅回路)'!$C$2:$C$50</c:f>
              <c:numCache>
                <c:formatCode>0.000</c:formatCode>
                <c:ptCount val="49"/>
                <c:pt idx="0">
                  <c:v>9.9710000000000001</c:v>
                </c:pt>
                <c:pt idx="1">
                  <c:v>7.9779999999999998</c:v>
                </c:pt>
                <c:pt idx="2">
                  <c:v>5.9850000000000003</c:v>
                </c:pt>
                <c:pt idx="3">
                  <c:v>3.992</c:v>
                </c:pt>
                <c:pt idx="4">
                  <c:v>1.9990000000000001</c:v>
                </c:pt>
                <c:pt idx="5">
                  <c:v>6.0000000000000001E-3</c:v>
                </c:pt>
                <c:pt idx="6">
                  <c:v>-1.9870000000000001</c:v>
                </c:pt>
                <c:pt idx="7">
                  <c:v>-3.98</c:v>
                </c:pt>
                <c:pt idx="8">
                  <c:v>-5.9729999999999999</c:v>
                </c:pt>
                <c:pt idx="9">
                  <c:v>-7.9660000000000002</c:v>
                </c:pt>
                <c:pt idx="10">
                  <c:v>-9.9589999999999996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96-D245-B3E1-737A8CB78239}"/>
            </c:ext>
          </c:extLst>
        </c:ser>
        <c:ser>
          <c:idx val="2"/>
          <c:order val="1"/>
          <c:tx>
            <c:v>3kΩ負荷</c:v>
          </c:tx>
          <c:spPr>
            <a:ln w="38100" cap="rnd">
              <a:noFill/>
              <a:round/>
            </a:ln>
            <a:effectLst/>
          </c:spPr>
          <c:xVal>
            <c:numRef>
              <c:f>'いない班(反転増幅回路)'!$N$2:$N$50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'いない班(反転増幅回路)'!$O$2:$O$50</c:f>
              <c:numCache>
                <c:formatCode>General</c:formatCode>
                <c:ptCount val="49"/>
                <c:pt idx="0">
                  <c:v>10.012</c:v>
                </c:pt>
                <c:pt idx="1">
                  <c:v>8.01</c:v>
                </c:pt>
                <c:pt idx="2">
                  <c:v>6.008</c:v>
                </c:pt>
                <c:pt idx="3">
                  <c:v>4.0060000000000002</c:v>
                </c:pt>
                <c:pt idx="4">
                  <c:v>2.004</c:v>
                </c:pt>
                <c:pt idx="5">
                  <c:v>1.8259999999999999E-3</c:v>
                </c:pt>
                <c:pt idx="6">
                  <c:v>-2.0009999999999999</c:v>
                </c:pt>
                <c:pt idx="7">
                  <c:v>-4.0030000000000001</c:v>
                </c:pt>
                <c:pt idx="8">
                  <c:v>-6.0049999999999999</c:v>
                </c:pt>
                <c:pt idx="9">
                  <c:v>-8.0069999999999997</c:v>
                </c:pt>
                <c:pt idx="10">
                  <c:v>-10.009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96-D245-B3E1-737A8CB78239}"/>
            </c:ext>
          </c:extLst>
        </c:ser>
        <c:ser>
          <c:idx val="3"/>
          <c:order val="2"/>
          <c:tx>
            <c:v>1kΩ負荷</c:v>
          </c:tx>
          <c:spPr>
            <a:ln w="38100" cap="rnd">
              <a:noFill/>
              <a:round/>
            </a:ln>
            <a:effectLst/>
          </c:spPr>
          <c:xVal>
            <c:numRef>
              <c:f>'いない班(反転増幅回路)'!$W$2:$W$50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'いない班(反転増幅回路)'!$X$2:$X$50</c:f>
              <c:numCache>
                <c:formatCode>0.00</c:formatCode>
                <c:ptCount val="49"/>
                <c:pt idx="0" formatCode="General">
                  <c:v>10.002000000000001</c:v>
                </c:pt>
                <c:pt idx="1">
                  <c:v>8.01</c:v>
                </c:pt>
                <c:pt idx="2" formatCode="General">
                  <c:v>6.008</c:v>
                </c:pt>
                <c:pt idx="3" formatCode="General">
                  <c:v>4.0060000000000002</c:v>
                </c:pt>
                <c:pt idx="4" formatCode="General">
                  <c:v>2.004</c:v>
                </c:pt>
                <c:pt idx="5" formatCode="General">
                  <c:v>1.856E-3</c:v>
                </c:pt>
                <c:pt idx="6" formatCode="General">
                  <c:v>-2.0009999999999999</c:v>
                </c:pt>
                <c:pt idx="7" formatCode="General">
                  <c:v>-4.0030000000000001</c:v>
                </c:pt>
                <c:pt idx="8" formatCode="General">
                  <c:v>-6.0049999999999999</c:v>
                </c:pt>
                <c:pt idx="9" formatCode="General">
                  <c:v>-8.0069999999999997</c:v>
                </c:pt>
                <c:pt idx="10" formatCode="General">
                  <c:v>-10.009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96-D245-B3E1-737A8CB78239}"/>
            </c:ext>
          </c:extLst>
        </c:ser>
        <c:ser>
          <c:idx val="0"/>
          <c:order val="3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'いない班(反転増幅回路)'!$AG$2:$AG$50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'いない班(反転増幅回路)'!$AH$2:$AH$50</c:f>
              <c:numCache>
                <c:formatCode>General</c:formatCode>
                <c:ptCount val="49"/>
                <c:pt idx="0">
                  <c:v>10.013999999999999</c:v>
                </c:pt>
                <c:pt idx="1">
                  <c:v>8.0109999999999992</c:v>
                </c:pt>
                <c:pt idx="2">
                  <c:v>6.0090000000000003</c:v>
                </c:pt>
                <c:pt idx="3">
                  <c:v>4.0060000000000002</c:v>
                </c:pt>
                <c:pt idx="4">
                  <c:v>2.004</c:v>
                </c:pt>
                <c:pt idx="5">
                  <c:v>1.7690000000000001E-2</c:v>
                </c:pt>
                <c:pt idx="6">
                  <c:v>-2.0009999999999999</c:v>
                </c:pt>
                <c:pt idx="7">
                  <c:v>-4.0039999999999996</c:v>
                </c:pt>
                <c:pt idx="8">
                  <c:v>-6.0060000000000002</c:v>
                </c:pt>
                <c:pt idx="9">
                  <c:v>-8.0079999999999991</c:v>
                </c:pt>
                <c:pt idx="10">
                  <c:v>-10.01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96-D245-B3E1-737A8CB78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入力電圧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5040341380024868"/>
              <c:y val="0.8583029850632359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出力電圧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2.4006035018648987E-2"/>
              <c:y val="0.3112731300698812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66056999125109361"/>
          <c:y val="2.2841960664365724E-2"/>
          <c:w val="0.31849362966919575"/>
          <c:h val="0.29917252160145857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無負荷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3677092760803625E-2"/>
                  <c:y val="3.895989745467948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'いない班(反転増幅回路)'!$B$2:$B$50</c:f>
              <c:numCache>
                <c:formatCode>0.0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'いない班(反転増幅回路)'!$C$2:$C$50</c:f>
              <c:numCache>
                <c:formatCode>0.000</c:formatCode>
                <c:ptCount val="49"/>
                <c:pt idx="0">
                  <c:v>9.9710000000000001</c:v>
                </c:pt>
                <c:pt idx="1">
                  <c:v>7.9779999999999998</c:v>
                </c:pt>
                <c:pt idx="2">
                  <c:v>5.9850000000000003</c:v>
                </c:pt>
                <c:pt idx="3">
                  <c:v>3.992</c:v>
                </c:pt>
                <c:pt idx="4">
                  <c:v>1.9990000000000001</c:v>
                </c:pt>
                <c:pt idx="5">
                  <c:v>6.0000000000000001E-3</c:v>
                </c:pt>
                <c:pt idx="6">
                  <c:v>-1.9870000000000001</c:v>
                </c:pt>
                <c:pt idx="7">
                  <c:v>-3.98</c:v>
                </c:pt>
                <c:pt idx="8">
                  <c:v>-5.9729999999999999</c:v>
                </c:pt>
                <c:pt idx="9">
                  <c:v>-7.9660000000000002</c:v>
                </c:pt>
                <c:pt idx="10">
                  <c:v>-9.9589999999999996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8B-41A9-BF0E-16EDF7B1B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777072"/>
      </c:scatterChart>
      <c:valAx>
        <c:axId val="26772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 </a:t>
                </a:r>
                <a:r>
                  <a:rPr lang="en-US" altLang="ja-JP"/>
                  <a:t>E</a:t>
                </a:r>
                <a:r>
                  <a:rPr lang="en-US" altLang="ja-JP" sz="600"/>
                  <a:t>b1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443434746562618"/>
              <c:y val="0.875674418604651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777072"/>
        <c:crosses val="autoZero"/>
        <c:crossBetween val="midCat"/>
      </c:valAx>
      <c:valAx>
        <c:axId val="112777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0"/>
                  <a:t>出力電圧 </a:t>
                </a:r>
                <a:r>
                  <a:rPr lang="en-US" altLang="ja-JP" b="0"/>
                  <a:t>E</a:t>
                </a:r>
                <a:r>
                  <a:rPr lang="en-US" altLang="ja-JP" sz="500" b="0"/>
                  <a:t>0</a:t>
                </a:r>
                <a:r>
                  <a:rPr lang="en-US" altLang="ja-JP" b="0"/>
                  <a:t>[V]</a:t>
                </a:r>
                <a:endParaRPr lang="ja-JP" alt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0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無負荷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3677092760803625E-2"/>
                  <c:y val="3.895989745467948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'いない班(反転増幅回路)'!$B$2:$B$50</c:f>
              <c:numCache>
                <c:formatCode>0.0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'いない班(反転増幅回路)'!$C$2:$C$50</c:f>
              <c:numCache>
                <c:formatCode>0.000</c:formatCode>
                <c:ptCount val="49"/>
                <c:pt idx="0">
                  <c:v>9.9710000000000001</c:v>
                </c:pt>
                <c:pt idx="1">
                  <c:v>7.9779999999999998</c:v>
                </c:pt>
                <c:pt idx="2">
                  <c:v>5.9850000000000003</c:v>
                </c:pt>
                <c:pt idx="3">
                  <c:v>3.992</c:v>
                </c:pt>
                <c:pt idx="4">
                  <c:v>1.9990000000000001</c:v>
                </c:pt>
                <c:pt idx="5">
                  <c:v>6.0000000000000001E-3</c:v>
                </c:pt>
                <c:pt idx="6">
                  <c:v>-1.9870000000000001</c:v>
                </c:pt>
                <c:pt idx="7">
                  <c:v>-3.98</c:v>
                </c:pt>
                <c:pt idx="8">
                  <c:v>-5.9729999999999999</c:v>
                </c:pt>
                <c:pt idx="9">
                  <c:v>-7.9660000000000002</c:v>
                </c:pt>
                <c:pt idx="10">
                  <c:v>-9.9589999999999996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E7-45F8-8DAF-07A3EE849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777072"/>
      </c:scatterChart>
      <c:valAx>
        <c:axId val="267727344"/>
        <c:scaling>
          <c:orientation val="minMax"/>
          <c:max val="5.000000000000001E-2"/>
          <c:min val="-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 </a:t>
                </a:r>
                <a:r>
                  <a:rPr lang="en-US" altLang="ja-JP"/>
                  <a:t>E</a:t>
                </a:r>
                <a:r>
                  <a:rPr lang="en-US" altLang="ja-JP" sz="600"/>
                  <a:t>i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443434746562618"/>
              <c:y val="0.875674418604651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777072"/>
        <c:crosses val="autoZero"/>
        <c:crossBetween val="midCat"/>
      </c:valAx>
      <c:valAx>
        <c:axId val="112777072"/>
        <c:scaling>
          <c:orientation val="minMax"/>
          <c:max val="5.000000000000001E-2"/>
          <c:min val="-5.000000000000001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0"/>
                  <a:t>出力電圧 </a:t>
                </a:r>
                <a:r>
                  <a:rPr lang="en-US" altLang="ja-JP" b="0"/>
                  <a:t>E</a:t>
                </a:r>
                <a:r>
                  <a:rPr lang="en-US" altLang="ja-JP" sz="500" b="0"/>
                  <a:t>0</a:t>
                </a:r>
                <a:r>
                  <a:rPr lang="en-US" altLang="ja-JP" b="0"/>
                  <a:t>[V]</a:t>
                </a:r>
                <a:endParaRPr lang="ja-JP" alt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0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無負荷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1651214022512867E-2"/>
                  <c:y val="-4.029001403855176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'いない班(非反転増幅回路)'!$B$2:$B$50</c:f>
              <c:numCache>
                <c:formatCode>General</c:formatCode>
                <c:ptCount val="49"/>
                <c:pt idx="0">
                  <c:v>-5</c:v>
                </c:pt>
                <c:pt idx="1">
                  <c:v>-4.8</c:v>
                </c:pt>
                <c:pt idx="2">
                  <c:v>-4.5999999999999996</c:v>
                </c:pt>
                <c:pt idx="3">
                  <c:v>-4.4000000000000004</c:v>
                </c:pt>
                <c:pt idx="4">
                  <c:v>-4.2</c:v>
                </c:pt>
                <c:pt idx="5">
                  <c:v>-4</c:v>
                </c:pt>
                <c:pt idx="6">
                  <c:v>-3.8</c:v>
                </c:pt>
                <c:pt idx="7">
                  <c:v>-3.6</c:v>
                </c:pt>
                <c:pt idx="8">
                  <c:v>-3.4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</c:numCache>
            </c:numRef>
          </c:xVal>
          <c:yVal>
            <c:numRef>
              <c:f>'いない班(非反転増幅回路)'!$C$2:$C$50</c:f>
              <c:numCache>
                <c:formatCode>General</c:formatCode>
                <c:ptCount val="49"/>
                <c:pt idx="0">
                  <c:v>-14.196999999999999</c:v>
                </c:pt>
                <c:pt idx="1">
                  <c:v>-14.093999999999999</c:v>
                </c:pt>
                <c:pt idx="2">
                  <c:v>-13.805999999999999</c:v>
                </c:pt>
                <c:pt idx="3">
                  <c:v>-13.206</c:v>
                </c:pt>
                <c:pt idx="4">
                  <c:v>-12.606</c:v>
                </c:pt>
                <c:pt idx="5">
                  <c:v>-12.005000000000001</c:v>
                </c:pt>
                <c:pt idx="6">
                  <c:v>-11.404999999999999</c:v>
                </c:pt>
                <c:pt idx="7">
                  <c:v>-10.805</c:v>
                </c:pt>
                <c:pt idx="8">
                  <c:v>-10.204000000000001</c:v>
                </c:pt>
                <c:pt idx="9">
                  <c:v>-9.0039999999999996</c:v>
                </c:pt>
                <c:pt idx="10">
                  <c:v>-6.0019999999999998</c:v>
                </c:pt>
                <c:pt idx="11">
                  <c:v>-3.0019999999999998</c:v>
                </c:pt>
                <c:pt idx="12">
                  <c:v>1.7700000000000001E-3</c:v>
                </c:pt>
                <c:pt idx="13">
                  <c:v>3.0030000000000001</c:v>
                </c:pt>
                <c:pt idx="14">
                  <c:v>6.0049999999999999</c:v>
                </c:pt>
                <c:pt idx="15">
                  <c:v>9.0069999999999997</c:v>
                </c:pt>
                <c:pt idx="16">
                  <c:v>10.207000000000001</c:v>
                </c:pt>
                <c:pt idx="17">
                  <c:v>10.808</c:v>
                </c:pt>
                <c:pt idx="18">
                  <c:v>11.407999999999999</c:v>
                </c:pt>
                <c:pt idx="19">
                  <c:v>12.007999999999999</c:v>
                </c:pt>
                <c:pt idx="20">
                  <c:v>12.608000000000001</c:v>
                </c:pt>
                <c:pt idx="21">
                  <c:v>13.207000000000001</c:v>
                </c:pt>
                <c:pt idx="22">
                  <c:v>13.427</c:v>
                </c:pt>
                <c:pt idx="23">
                  <c:v>13.427</c:v>
                </c:pt>
                <c:pt idx="24">
                  <c:v>13.427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CA-0148-B77C-14BEFFC04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777072"/>
      </c:scatterChart>
      <c:valAx>
        <c:axId val="26772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入力電圧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3781592061432917"/>
              <c:y val="0.890544280442804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777072"/>
        <c:crosses val="autoZero"/>
        <c:crossBetween val="midCat"/>
      </c:valAx>
      <c:valAx>
        <c:axId val="112777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0">
                    <a:solidFill>
                      <a:schemeClr val="tx1"/>
                    </a:solidFill>
                  </a:rPr>
                  <a:t>出力電圧</a:t>
                </a:r>
                <a:r>
                  <a:rPr lang="en-US" altLang="ja-JP" b="0">
                    <a:solidFill>
                      <a:schemeClr val="tx1"/>
                    </a:solidFill>
                  </a:rPr>
                  <a:t>[V]</a:t>
                </a:r>
                <a:endParaRPr lang="ja-JP" altLang="en-US" b="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9230773390753093E-2"/>
              <c:y val="0.342135427259784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3kΩ負荷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'いない班(非反転増幅回路)'!$N$2:$N$50</c:f>
              <c:numCache>
                <c:formatCode>General</c:formatCode>
                <c:ptCount val="49"/>
                <c:pt idx="0">
                  <c:v>-5</c:v>
                </c:pt>
                <c:pt idx="1">
                  <c:v>-4.8</c:v>
                </c:pt>
                <c:pt idx="2">
                  <c:v>-4.5999999999999996</c:v>
                </c:pt>
                <c:pt idx="3">
                  <c:v>-4.4000000000000004</c:v>
                </c:pt>
                <c:pt idx="4">
                  <c:v>-4.2</c:v>
                </c:pt>
                <c:pt idx="5">
                  <c:v>-4</c:v>
                </c:pt>
                <c:pt idx="6">
                  <c:v>-3.8</c:v>
                </c:pt>
                <c:pt idx="7">
                  <c:v>-3.6</c:v>
                </c:pt>
                <c:pt idx="8">
                  <c:v>-3.4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</c:numCache>
            </c:numRef>
          </c:xVal>
          <c:yVal>
            <c:numRef>
              <c:f>'いない班(非反転増幅回路)'!$O$2:$O$50</c:f>
              <c:numCache>
                <c:formatCode>General</c:formatCode>
                <c:ptCount val="49"/>
                <c:pt idx="0">
                  <c:v>-13.305999999999999</c:v>
                </c:pt>
                <c:pt idx="1">
                  <c:v>-13.268000000000001</c:v>
                </c:pt>
                <c:pt idx="2">
                  <c:v>-13.260999999999999</c:v>
                </c:pt>
                <c:pt idx="3">
                  <c:v>-13.206</c:v>
                </c:pt>
                <c:pt idx="4">
                  <c:v>-12.606</c:v>
                </c:pt>
                <c:pt idx="5">
                  <c:v>-12.006</c:v>
                </c:pt>
                <c:pt idx="6">
                  <c:v>-11.406000000000001</c:v>
                </c:pt>
                <c:pt idx="7">
                  <c:v>-10.805</c:v>
                </c:pt>
                <c:pt idx="8">
                  <c:v>-10.205</c:v>
                </c:pt>
                <c:pt idx="9">
                  <c:v>-9.0039999999999996</c:v>
                </c:pt>
                <c:pt idx="10">
                  <c:v>-6.0030000000000001</c:v>
                </c:pt>
                <c:pt idx="11">
                  <c:v>-3.0009999999999999</c:v>
                </c:pt>
                <c:pt idx="12">
                  <c:v>1.8259999999999999E-3</c:v>
                </c:pt>
                <c:pt idx="13">
                  <c:v>3.004</c:v>
                </c:pt>
                <c:pt idx="14">
                  <c:v>6.0049999999999999</c:v>
                </c:pt>
                <c:pt idx="15">
                  <c:v>9.0069999999999997</c:v>
                </c:pt>
                <c:pt idx="16">
                  <c:v>10.208</c:v>
                </c:pt>
                <c:pt idx="17">
                  <c:v>10.808</c:v>
                </c:pt>
                <c:pt idx="18">
                  <c:v>11.407999999999999</c:v>
                </c:pt>
                <c:pt idx="19">
                  <c:v>12.009</c:v>
                </c:pt>
                <c:pt idx="20">
                  <c:v>12.609</c:v>
                </c:pt>
                <c:pt idx="21">
                  <c:v>13.205</c:v>
                </c:pt>
                <c:pt idx="22">
                  <c:v>13.234999999999999</c:v>
                </c:pt>
                <c:pt idx="23">
                  <c:v>13.234</c:v>
                </c:pt>
                <c:pt idx="24">
                  <c:v>13.234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38-F942-B740-853676ABA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69184"/>
        <c:axId val="81574480"/>
      </c:scatterChart>
      <c:valAx>
        <c:axId val="81669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入力電圧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4362905951026571"/>
              <c:y val="0.887833322291755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574480"/>
        <c:crosses val="autoZero"/>
        <c:crossBetween val="midCat"/>
      </c:valAx>
      <c:valAx>
        <c:axId val="81574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出力電圧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2.1854495949497184E-2"/>
              <c:y val="0.333498708879736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66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'いない班(非反転増幅回路)'!$W$2:$W$50</c:f>
              <c:numCache>
                <c:formatCode>General</c:formatCode>
                <c:ptCount val="49"/>
                <c:pt idx="0">
                  <c:v>-5</c:v>
                </c:pt>
                <c:pt idx="1">
                  <c:v>-4.8</c:v>
                </c:pt>
                <c:pt idx="2">
                  <c:v>-4.5999999999999996</c:v>
                </c:pt>
                <c:pt idx="3">
                  <c:v>-4.4000000000000004</c:v>
                </c:pt>
                <c:pt idx="4">
                  <c:v>-4.2</c:v>
                </c:pt>
                <c:pt idx="5">
                  <c:v>-4</c:v>
                </c:pt>
                <c:pt idx="6">
                  <c:v>-3.8</c:v>
                </c:pt>
                <c:pt idx="7">
                  <c:v>-3.6</c:v>
                </c:pt>
                <c:pt idx="8">
                  <c:v>-3.4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</c:numCache>
            </c:numRef>
          </c:xVal>
          <c:yVal>
            <c:numRef>
              <c:f>'いない班(非反転増幅回路)'!$X$2:$X$50</c:f>
              <c:numCache>
                <c:formatCode>General</c:formatCode>
                <c:ptCount val="49"/>
                <c:pt idx="0">
                  <c:v>-11.919</c:v>
                </c:pt>
                <c:pt idx="1">
                  <c:v>-11.919</c:v>
                </c:pt>
                <c:pt idx="2">
                  <c:v>-11.917</c:v>
                </c:pt>
                <c:pt idx="3">
                  <c:v>-11.916</c:v>
                </c:pt>
                <c:pt idx="4">
                  <c:v>-11.914</c:v>
                </c:pt>
                <c:pt idx="5">
                  <c:v>-11.996</c:v>
                </c:pt>
                <c:pt idx="6">
                  <c:v>-11.404999999999999</c:v>
                </c:pt>
                <c:pt idx="7">
                  <c:v>-10.804</c:v>
                </c:pt>
                <c:pt idx="8">
                  <c:v>-10.204000000000001</c:v>
                </c:pt>
                <c:pt idx="9">
                  <c:v>-9.0039999999999996</c:v>
                </c:pt>
                <c:pt idx="10">
                  <c:v>-6.0030000000000001</c:v>
                </c:pt>
                <c:pt idx="11">
                  <c:v>-3.0009999999999999</c:v>
                </c:pt>
                <c:pt idx="12">
                  <c:v>1.787E-3</c:v>
                </c:pt>
                <c:pt idx="13">
                  <c:v>3.004</c:v>
                </c:pt>
                <c:pt idx="14">
                  <c:v>6.0060000000000002</c:v>
                </c:pt>
                <c:pt idx="15">
                  <c:v>9.0069999999999997</c:v>
                </c:pt>
                <c:pt idx="16">
                  <c:v>10.207000000000001</c:v>
                </c:pt>
                <c:pt idx="17">
                  <c:v>10.808</c:v>
                </c:pt>
                <c:pt idx="18">
                  <c:v>11.407999999999999</c:v>
                </c:pt>
                <c:pt idx="19">
                  <c:v>12.009</c:v>
                </c:pt>
                <c:pt idx="20">
                  <c:v>12.608000000000001</c:v>
                </c:pt>
                <c:pt idx="21">
                  <c:v>12.787000000000001</c:v>
                </c:pt>
                <c:pt idx="22">
                  <c:v>12.787000000000001</c:v>
                </c:pt>
                <c:pt idx="23">
                  <c:v>12.787000000000001</c:v>
                </c:pt>
                <c:pt idx="24">
                  <c:v>12.787000000000001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EC-3C4A-BE81-3C594F4F9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576944"/>
      </c:scatterChart>
      <c:valAx>
        <c:axId val="26772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入力電圧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4064598815056172"/>
              <c:y val="0.872882964824704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576944"/>
        <c:crosses val="autoZero"/>
        <c:crossBetween val="midCat"/>
      </c:valAx>
      <c:valAx>
        <c:axId val="112576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出力電圧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'いない班(非反転増幅回路)'!$AG$2:$AG$51</c:f>
              <c:numCache>
                <c:formatCode>General</c:formatCode>
                <c:ptCount val="50"/>
                <c:pt idx="0">
                  <c:v>-5</c:v>
                </c:pt>
                <c:pt idx="1">
                  <c:v>-4</c:v>
                </c:pt>
                <c:pt idx="2">
                  <c:v>-3.8</c:v>
                </c:pt>
                <c:pt idx="3">
                  <c:v>-3.6</c:v>
                </c:pt>
                <c:pt idx="4">
                  <c:v>-3.4</c:v>
                </c:pt>
                <c:pt idx="5">
                  <c:v>-3.2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3.2</c:v>
                </c:pt>
                <c:pt idx="14">
                  <c:v>3.4</c:v>
                </c:pt>
                <c:pt idx="15">
                  <c:v>3.6</c:v>
                </c:pt>
                <c:pt idx="16">
                  <c:v>3.8</c:v>
                </c:pt>
                <c:pt idx="17">
                  <c:v>4</c:v>
                </c:pt>
                <c:pt idx="18">
                  <c:v>4.2</c:v>
                </c:pt>
                <c:pt idx="19">
                  <c:v>4.4000000000000004</c:v>
                </c:pt>
                <c:pt idx="20">
                  <c:v>4.5999999999999996</c:v>
                </c:pt>
                <c:pt idx="21">
                  <c:v>5</c:v>
                </c:pt>
              </c:numCache>
            </c:numRef>
          </c:xVal>
          <c:yVal>
            <c:numRef>
              <c:f>'いない班(非反転増幅回路)'!$AH$2:$AH$51</c:f>
              <c:numCache>
                <c:formatCode>General</c:formatCode>
                <c:ptCount val="50"/>
                <c:pt idx="0">
                  <c:v>-10.878</c:v>
                </c:pt>
                <c:pt idx="1">
                  <c:v>-10.805999999999999</c:v>
                </c:pt>
                <c:pt idx="2">
                  <c:v>-10.706</c:v>
                </c:pt>
                <c:pt idx="3">
                  <c:v>-10.702</c:v>
                </c:pt>
                <c:pt idx="4">
                  <c:v>-10.201000000000001</c:v>
                </c:pt>
                <c:pt idx="5">
                  <c:v>-9.6010000000000009</c:v>
                </c:pt>
                <c:pt idx="6">
                  <c:v>-9.0039999999999996</c:v>
                </c:pt>
                <c:pt idx="7">
                  <c:v>-6.0019999999999998</c:v>
                </c:pt>
                <c:pt idx="8">
                  <c:v>-3</c:v>
                </c:pt>
                <c:pt idx="9">
                  <c:v>1.944E-3</c:v>
                </c:pt>
                <c:pt idx="10">
                  <c:v>3.0030000000000001</c:v>
                </c:pt>
                <c:pt idx="11">
                  <c:v>6.0049999999999999</c:v>
                </c:pt>
                <c:pt idx="12">
                  <c:v>9.0060000000000002</c:v>
                </c:pt>
                <c:pt idx="13">
                  <c:v>9.6059999999999999</c:v>
                </c:pt>
                <c:pt idx="14">
                  <c:v>10.206</c:v>
                </c:pt>
                <c:pt idx="15">
                  <c:v>10.805999999999999</c:v>
                </c:pt>
                <c:pt idx="16">
                  <c:v>11.406000000000001</c:v>
                </c:pt>
                <c:pt idx="17">
                  <c:v>12.007999999999999</c:v>
                </c:pt>
                <c:pt idx="18">
                  <c:v>12.414999999999999</c:v>
                </c:pt>
                <c:pt idx="19">
                  <c:v>12.416</c:v>
                </c:pt>
                <c:pt idx="20">
                  <c:v>12.417999999999999</c:v>
                </c:pt>
                <c:pt idx="21">
                  <c:v>12.414999999999999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D6-2840-A34A-A11564474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入力電圧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2722648051240608"/>
              <c:y val="0.876144946015174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出力電圧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2.1857979926801583E-2"/>
              <c:y val="0.330439208985670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alpha val="54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76159230096238"/>
          <c:y val="3.0643208386196507E-2"/>
          <c:w val="0.85076618547681537"/>
          <c:h val="0.80458294345796677"/>
        </c:manualLayout>
      </c:layout>
      <c:scatterChart>
        <c:scatterStyle val="lineMarker"/>
        <c:varyColors val="0"/>
        <c:ser>
          <c:idx val="1"/>
          <c:order val="0"/>
          <c:tx>
            <c:v>無負荷</c:v>
          </c:tx>
          <c:spPr>
            <a:ln w="38100">
              <a:noFill/>
            </a:ln>
          </c:spPr>
          <c:xVal>
            <c:numRef>
              <c:f>'いない班(非反転増幅回路)'!$B$2:$B$50</c:f>
              <c:numCache>
                <c:formatCode>General</c:formatCode>
                <c:ptCount val="49"/>
                <c:pt idx="0">
                  <c:v>-5</c:v>
                </c:pt>
                <c:pt idx="1">
                  <c:v>-4.8</c:v>
                </c:pt>
                <c:pt idx="2">
                  <c:v>-4.5999999999999996</c:v>
                </c:pt>
                <c:pt idx="3">
                  <c:v>-4.4000000000000004</c:v>
                </c:pt>
                <c:pt idx="4">
                  <c:v>-4.2</c:v>
                </c:pt>
                <c:pt idx="5">
                  <c:v>-4</c:v>
                </c:pt>
                <c:pt idx="6">
                  <c:v>-3.8</c:v>
                </c:pt>
                <c:pt idx="7">
                  <c:v>-3.6</c:v>
                </c:pt>
                <c:pt idx="8">
                  <c:v>-3.4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</c:numCache>
            </c:numRef>
          </c:xVal>
          <c:yVal>
            <c:numRef>
              <c:f>'いない班(非反転増幅回路)'!$C$2:$C$50</c:f>
              <c:numCache>
                <c:formatCode>General</c:formatCode>
                <c:ptCount val="49"/>
                <c:pt idx="0">
                  <c:v>-14.196999999999999</c:v>
                </c:pt>
                <c:pt idx="1">
                  <c:v>-14.093999999999999</c:v>
                </c:pt>
                <c:pt idx="2">
                  <c:v>-13.805999999999999</c:v>
                </c:pt>
                <c:pt idx="3">
                  <c:v>-13.206</c:v>
                </c:pt>
                <c:pt idx="4">
                  <c:v>-12.606</c:v>
                </c:pt>
                <c:pt idx="5">
                  <c:v>-12.005000000000001</c:v>
                </c:pt>
                <c:pt idx="6">
                  <c:v>-11.404999999999999</c:v>
                </c:pt>
                <c:pt idx="7">
                  <c:v>-10.805</c:v>
                </c:pt>
                <c:pt idx="8">
                  <c:v>-10.204000000000001</c:v>
                </c:pt>
                <c:pt idx="9">
                  <c:v>-9.0039999999999996</c:v>
                </c:pt>
                <c:pt idx="10">
                  <c:v>-6.0019999999999998</c:v>
                </c:pt>
                <c:pt idx="11">
                  <c:v>-3.0019999999999998</c:v>
                </c:pt>
                <c:pt idx="12">
                  <c:v>1.7700000000000001E-3</c:v>
                </c:pt>
                <c:pt idx="13">
                  <c:v>3.0030000000000001</c:v>
                </c:pt>
                <c:pt idx="14">
                  <c:v>6.0049999999999999</c:v>
                </c:pt>
                <c:pt idx="15">
                  <c:v>9.0069999999999997</c:v>
                </c:pt>
                <c:pt idx="16">
                  <c:v>10.207000000000001</c:v>
                </c:pt>
                <c:pt idx="17">
                  <c:v>10.808</c:v>
                </c:pt>
                <c:pt idx="18">
                  <c:v>11.407999999999999</c:v>
                </c:pt>
                <c:pt idx="19">
                  <c:v>12.007999999999999</c:v>
                </c:pt>
                <c:pt idx="20">
                  <c:v>12.608000000000001</c:v>
                </c:pt>
                <c:pt idx="21">
                  <c:v>13.207000000000001</c:v>
                </c:pt>
                <c:pt idx="22">
                  <c:v>13.427</c:v>
                </c:pt>
                <c:pt idx="23">
                  <c:v>13.427</c:v>
                </c:pt>
                <c:pt idx="24">
                  <c:v>13.427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1F-8841-BD82-93DC5EA72ACC}"/>
            </c:ext>
          </c:extLst>
        </c:ser>
        <c:ser>
          <c:idx val="2"/>
          <c:order val="1"/>
          <c:tx>
            <c:v>3kΩ負荷</c:v>
          </c:tx>
          <c:spPr>
            <a:ln w="38100" cap="rnd">
              <a:noFill/>
              <a:round/>
            </a:ln>
            <a:effectLst/>
          </c:spPr>
          <c:xVal>
            <c:numRef>
              <c:f>'いない班(非反転増幅回路)'!$N$2:$N$50</c:f>
              <c:numCache>
                <c:formatCode>General</c:formatCode>
                <c:ptCount val="49"/>
                <c:pt idx="0">
                  <c:v>-5</c:v>
                </c:pt>
                <c:pt idx="1">
                  <c:v>-4.8</c:v>
                </c:pt>
                <c:pt idx="2">
                  <c:v>-4.5999999999999996</c:v>
                </c:pt>
                <c:pt idx="3">
                  <c:v>-4.4000000000000004</c:v>
                </c:pt>
                <c:pt idx="4">
                  <c:v>-4.2</c:v>
                </c:pt>
                <c:pt idx="5">
                  <c:v>-4</c:v>
                </c:pt>
                <c:pt idx="6">
                  <c:v>-3.8</c:v>
                </c:pt>
                <c:pt idx="7">
                  <c:v>-3.6</c:v>
                </c:pt>
                <c:pt idx="8">
                  <c:v>-3.4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</c:numCache>
            </c:numRef>
          </c:xVal>
          <c:yVal>
            <c:numRef>
              <c:f>'いない班(非反転増幅回路)'!$O$2:$O$50</c:f>
              <c:numCache>
                <c:formatCode>General</c:formatCode>
                <c:ptCount val="49"/>
                <c:pt idx="0">
                  <c:v>-13.305999999999999</c:v>
                </c:pt>
                <c:pt idx="1">
                  <c:v>-13.268000000000001</c:v>
                </c:pt>
                <c:pt idx="2">
                  <c:v>-13.260999999999999</c:v>
                </c:pt>
                <c:pt idx="3">
                  <c:v>-13.206</c:v>
                </c:pt>
                <c:pt idx="4">
                  <c:v>-12.606</c:v>
                </c:pt>
                <c:pt idx="5">
                  <c:v>-12.006</c:v>
                </c:pt>
                <c:pt idx="6">
                  <c:v>-11.406000000000001</c:v>
                </c:pt>
                <c:pt idx="7">
                  <c:v>-10.805</c:v>
                </c:pt>
                <c:pt idx="8">
                  <c:v>-10.205</c:v>
                </c:pt>
                <c:pt idx="9">
                  <c:v>-9.0039999999999996</c:v>
                </c:pt>
                <c:pt idx="10">
                  <c:v>-6.0030000000000001</c:v>
                </c:pt>
                <c:pt idx="11">
                  <c:v>-3.0009999999999999</c:v>
                </c:pt>
                <c:pt idx="12">
                  <c:v>1.8259999999999999E-3</c:v>
                </c:pt>
                <c:pt idx="13">
                  <c:v>3.004</c:v>
                </c:pt>
                <c:pt idx="14">
                  <c:v>6.0049999999999999</c:v>
                </c:pt>
                <c:pt idx="15">
                  <c:v>9.0069999999999997</c:v>
                </c:pt>
                <c:pt idx="16">
                  <c:v>10.208</c:v>
                </c:pt>
                <c:pt idx="17">
                  <c:v>10.808</c:v>
                </c:pt>
                <c:pt idx="18">
                  <c:v>11.407999999999999</c:v>
                </c:pt>
                <c:pt idx="19">
                  <c:v>12.009</c:v>
                </c:pt>
                <c:pt idx="20">
                  <c:v>12.609</c:v>
                </c:pt>
                <c:pt idx="21">
                  <c:v>13.205</c:v>
                </c:pt>
                <c:pt idx="22">
                  <c:v>13.234999999999999</c:v>
                </c:pt>
                <c:pt idx="23">
                  <c:v>13.234</c:v>
                </c:pt>
                <c:pt idx="24">
                  <c:v>13.234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1F-8841-BD82-93DC5EA72ACC}"/>
            </c:ext>
          </c:extLst>
        </c:ser>
        <c:ser>
          <c:idx val="3"/>
          <c:order val="2"/>
          <c:tx>
            <c:v>1kΩ負荷</c:v>
          </c:tx>
          <c:spPr>
            <a:ln w="38100" cap="rnd">
              <a:noFill/>
              <a:round/>
            </a:ln>
            <a:effectLst/>
          </c:spPr>
          <c:xVal>
            <c:numRef>
              <c:f>'いない班(非反転増幅回路)'!$W$2:$W$50</c:f>
              <c:numCache>
                <c:formatCode>General</c:formatCode>
                <c:ptCount val="49"/>
                <c:pt idx="0">
                  <c:v>-5</c:v>
                </c:pt>
                <c:pt idx="1">
                  <c:v>-4.8</c:v>
                </c:pt>
                <c:pt idx="2">
                  <c:v>-4.5999999999999996</c:v>
                </c:pt>
                <c:pt idx="3">
                  <c:v>-4.4000000000000004</c:v>
                </c:pt>
                <c:pt idx="4">
                  <c:v>-4.2</c:v>
                </c:pt>
                <c:pt idx="5">
                  <c:v>-4</c:v>
                </c:pt>
                <c:pt idx="6">
                  <c:v>-3.8</c:v>
                </c:pt>
                <c:pt idx="7">
                  <c:v>-3.6</c:v>
                </c:pt>
                <c:pt idx="8">
                  <c:v>-3.4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</c:numCache>
            </c:numRef>
          </c:xVal>
          <c:yVal>
            <c:numRef>
              <c:f>'いない班(非反転増幅回路)'!$X$2:$X$50</c:f>
              <c:numCache>
                <c:formatCode>General</c:formatCode>
                <c:ptCount val="49"/>
                <c:pt idx="0">
                  <c:v>-11.919</c:v>
                </c:pt>
                <c:pt idx="1">
                  <c:v>-11.919</c:v>
                </c:pt>
                <c:pt idx="2">
                  <c:v>-11.917</c:v>
                </c:pt>
                <c:pt idx="3">
                  <c:v>-11.916</c:v>
                </c:pt>
                <c:pt idx="4">
                  <c:v>-11.914</c:v>
                </c:pt>
                <c:pt idx="5">
                  <c:v>-11.996</c:v>
                </c:pt>
                <c:pt idx="6">
                  <c:v>-11.404999999999999</c:v>
                </c:pt>
                <c:pt idx="7">
                  <c:v>-10.804</c:v>
                </c:pt>
                <c:pt idx="8">
                  <c:v>-10.204000000000001</c:v>
                </c:pt>
                <c:pt idx="9">
                  <c:v>-9.0039999999999996</c:v>
                </c:pt>
                <c:pt idx="10">
                  <c:v>-6.0030000000000001</c:v>
                </c:pt>
                <c:pt idx="11">
                  <c:v>-3.0009999999999999</c:v>
                </c:pt>
                <c:pt idx="12">
                  <c:v>1.787E-3</c:v>
                </c:pt>
                <c:pt idx="13">
                  <c:v>3.004</c:v>
                </c:pt>
                <c:pt idx="14">
                  <c:v>6.0060000000000002</c:v>
                </c:pt>
                <c:pt idx="15">
                  <c:v>9.0069999999999997</c:v>
                </c:pt>
                <c:pt idx="16">
                  <c:v>10.207000000000001</c:v>
                </c:pt>
                <c:pt idx="17">
                  <c:v>10.808</c:v>
                </c:pt>
                <c:pt idx="18">
                  <c:v>11.407999999999999</c:v>
                </c:pt>
                <c:pt idx="19">
                  <c:v>12.009</c:v>
                </c:pt>
                <c:pt idx="20">
                  <c:v>12.608000000000001</c:v>
                </c:pt>
                <c:pt idx="21">
                  <c:v>12.787000000000001</c:v>
                </c:pt>
                <c:pt idx="22">
                  <c:v>12.787000000000001</c:v>
                </c:pt>
                <c:pt idx="23">
                  <c:v>12.787000000000001</c:v>
                </c:pt>
                <c:pt idx="24">
                  <c:v>12.787000000000001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1F-8841-BD82-93DC5EA72ACC}"/>
            </c:ext>
          </c:extLst>
        </c:ser>
        <c:ser>
          <c:idx val="0"/>
          <c:order val="3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'いない班(非反転増幅回路)'!$AG$2:$AG$51</c:f>
              <c:numCache>
                <c:formatCode>General</c:formatCode>
                <c:ptCount val="50"/>
                <c:pt idx="0">
                  <c:v>-5</c:v>
                </c:pt>
                <c:pt idx="1">
                  <c:v>-4</c:v>
                </c:pt>
                <c:pt idx="2">
                  <c:v>-3.8</c:v>
                </c:pt>
                <c:pt idx="3">
                  <c:v>-3.6</c:v>
                </c:pt>
                <c:pt idx="4">
                  <c:v>-3.4</c:v>
                </c:pt>
                <c:pt idx="5">
                  <c:v>-3.2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3.2</c:v>
                </c:pt>
                <c:pt idx="14">
                  <c:v>3.4</c:v>
                </c:pt>
                <c:pt idx="15">
                  <c:v>3.6</c:v>
                </c:pt>
                <c:pt idx="16">
                  <c:v>3.8</c:v>
                </c:pt>
                <c:pt idx="17">
                  <c:v>4</c:v>
                </c:pt>
                <c:pt idx="18">
                  <c:v>4.2</c:v>
                </c:pt>
                <c:pt idx="19">
                  <c:v>4.4000000000000004</c:v>
                </c:pt>
                <c:pt idx="20">
                  <c:v>4.5999999999999996</c:v>
                </c:pt>
                <c:pt idx="21">
                  <c:v>5</c:v>
                </c:pt>
              </c:numCache>
            </c:numRef>
          </c:xVal>
          <c:yVal>
            <c:numRef>
              <c:f>'いない班(非反転増幅回路)'!$AH$2:$AH$51</c:f>
              <c:numCache>
                <c:formatCode>General</c:formatCode>
                <c:ptCount val="50"/>
                <c:pt idx="0">
                  <c:v>-10.878</c:v>
                </c:pt>
                <c:pt idx="1">
                  <c:v>-10.805999999999999</c:v>
                </c:pt>
                <c:pt idx="2">
                  <c:v>-10.706</c:v>
                </c:pt>
                <c:pt idx="3">
                  <c:v>-10.702</c:v>
                </c:pt>
                <c:pt idx="4">
                  <c:v>-10.201000000000001</c:v>
                </c:pt>
                <c:pt idx="5">
                  <c:v>-9.6010000000000009</c:v>
                </c:pt>
                <c:pt idx="6">
                  <c:v>-9.0039999999999996</c:v>
                </c:pt>
                <c:pt idx="7">
                  <c:v>-6.0019999999999998</c:v>
                </c:pt>
                <c:pt idx="8">
                  <c:v>-3</c:v>
                </c:pt>
                <c:pt idx="9">
                  <c:v>1.944E-3</c:v>
                </c:pt>
                <c:pt idx="10">
                  <c:v>3.0030000000000001</c:v>
                </c:pt>
                <c:pt idx="11">
                  <c:v>6.0049999999999999</c:v>
                </c:pt>
                <c:pt idx="12">
                  <c:v>9.0060000000000002</c:v>
                </c:pt>
                <c:pt idx="13">
                  <c:v>9.6059999999999999</c:v>
                </c:pt>
                <c:pt idx="14">
                  <c:v>10.206</c:v>
                </c:pt>
                <c:pt idx="15">
                  <c:v>10.805999999999999</c:v>
                </c:pt>
                <c:pt idx="16">
                  <c:v>11.406000000000001</c:v>
                </c:pt>
                <c:pt idx="17">
                  <c:v>12.007999999999999</c:v>
                </c:pt>
                <c:pt idx="18">
                  <c:v>12.414999999999999</c:v>
                </c:pt>
                <c:pt idx="19">
                  <c:v>12.416</c:v>
                </c:pt>
                <c:pt idx="20">
                  <c:v>12.417999999999999</c:v>
                </c:pt>
                <c:pt idx="21">
                  <c:v>12.414999999999999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21F-8841-BD82-93DC5EA72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入力電圧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5059126577320602"/>
              <c:y val="0.849215044533069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出力電圧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3.5134875001857156E-2"/>
              <c:y val="0.3053560846440402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64142781441496033"/>
          <c:y val="0.54509299109926079"/>
          <c:w val="0.31849362966919575"/>
          <c:h val="0.29917252160145857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>
      <a:solidFill>
        <a:schemeClr val="bg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76159230096238"/>
          <c:y val="3.0643208386196507E-2"/>
          <c:w val="0.85076618547681537"/>
          <c:h val="0.80458294345796677"/>
        </c:manualLayout>
      </c:layout>
      <c:scatterChart>
        <c:scatterStyle val="lineMarker"/>
        <c:varyColors val="0"/>
        <c:ser>
          <c:idx val="1"/>
          <c:order val="0"/>
          <c:tx>
            <c:v>無負荷</c:v>
          </c:tx>
          <c:spPr>
            <a:ln w="38100">
              <a:noFill/>
            </a:ln>
          </c:spPr>
          <c:marker>
            <c:symbol val="square"/>
            <c:size val="7"/>
          </c:marker>
          <c:xVal>
            <c:numRef>
              <c:f>'いない班(非反転増幅回路)'!$B$2:$B$50</c:f>
              <c:numCache>
                <c:formatCode>General</c:formatCode>
                <c:ptCount val="49"/>
                <c:pt idx="0">
                  <c:v>-5</c:v>
                </c:pt>
                <c:pt idx="1">
                  <c:v>-4.8</c:v>
                </c:pt>
                <c:pt idx="2">
                  <c:v>-4.5999999999999996</c:v>
                </c:pt>
                <c:pt idx="3">
                  <c:v>-4.4000000000000004</c:v>
                </c:pt>
                <c:pt idx="4">
                  <c:v>-4.2</c:v>
                </c:pt>
                <c:pt idx="5">
                  <c:v>-4</c:v>
                </c:pt>
                <c:pt idx="6">
                  <c:v>-3.8</c:v>
                </c:pt>
                <c:pt idx="7">
                  <c:v>-3.6</c:v>
                </c:pt>
                <c:pt idx="8">
                  <c:v>-3.4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</c:numCache>
            </c:numRef>
          </c:xVal>
          <c:yVal>
            <c:numRef>
              <c:f>'いない班(非反転増幅回路)'!$C$2:$C$50</c:f>
              <c:numCache>
                <c:formatCode>General</c:formatCode>
                <c:ptCount val="49"/>
                <c:pt idx="0">
                  <c:v>-14.196999999999999</c:v>
                </c:pt>
                <c:pt idx="1">
                  <c:v>-14.093999999999999</c:v>
                </c:pt>
                <c:pt idx="2">
                  <c:v>-13.805999999999999</c:v>
                </c:pt>
                <c:pt idx="3">
                  <c:v>-13.206</c:v>
                </c:pt>
                <c:pt idx="4">
                  <c:v>-12.606</c:v>
                </c:pt>
                <c:pt idx="5">
                  <c:v>-12.005000000000001</c:v>
                </c:pt>
                <c:pt idx="6">
                  <c:v>-11.404999999999999</c:v>
                </c:pt>
                <c:pt idx="7">
                  <c:v>-10.805</c:v>
                </c:pt>
                <c:pt idx="8">
                  <c:v>-10.204000000000001</c:v>
                </c:pt>
                <c:pt idx="9">
                  <c:v>-9.0039999999999996</c:v>
                </c:pt>
                <c:pt idx="10">
                  <c:v>-6.0019999999999998</c:v>
                </c:pt>
                <c:pt idx="11">
                  <c:v>-3.0019999999999998</c:v>
                </c:pt>
                <c:pt idx="12">
                  <c:v>1.7700000000000001E-3</c:v>
                </c:pt>
                <c:pt idx="13">
                  <c:v>3.0030000000000001</c:v>
                </c:pt>
                <c:pt idx="14">
                  <c:v>6.0049999999999999</c:v>
                </c:pt>
                <c:pt idx="15">
                  <c:v>9.0069999999999997</c:v>
                </c:pt>
                <c:pt idx="16">
                  <c:v>10.207000000000001</c:v>
                </c:pt>
                <c:pt idx="17">
                  <c:v>10.808</c:v>
                </c:pt>
                <c:pt idx="18">
                  <c:v>11.407999999999999</c:v>
                </c:pt>
                <c:pt idx="19">
                  <c:v>12.007999999999999</c:v>
                </c:pt>
                <c:pt idx="20">
                  <c:v>12.608000000000001</c:v>
                </c:pt>
                <c:pt idx="21">
                  <c:v>13.207000000000001</c:v>
                </c:pt>
                <c:pt idx="22">
                  <c:v>13.427</c:v>
                </c:pt>
                <c:pt idx="23">
                  <c:v>13.427</c:v>
                </c:pt>
                <c:pt idx="24">
                  <c:v>13.427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E7-4932-B45E-134CA52BA2F5}"/>
            </c:ext>
          </c:extLst>
        </c:ser>
        <c:ser>
          <c:idx val="2"/>
          <c:order val="1"/>
          <c:tx>
            <c:v>3kΩ負荷</c:v>
          </c:tx>
          <c:spPr>
            <a:ln w="38100" cap="rnd">
              <a:noFill/>
              <a:round/>
            </a:ln>
            <a:effectLst/>
          </c:spPr>
          <c:marker>
            <c:symbol val="triangle"/>
            <c:size val="7"/>
          </c:marker>
          <c:xVal>
            <c:numRef>
              <c:f>'いない班(非反転増幅回路)'!$N$2:$N$50</c:f>
              <c:numCache>
                <c:formatCode>General</c:formatCode>
                <c:ptCount val="49"/>
                <c:pt idx="0">
                  <c:v>-5</c:v>
                </c:pt>
                <c:pt idx="1">
                  <c:v>-4.8</c:v>
                </c:pt>
                <c:pt idx="2">
                  <c:v>-4.5999999999999996</c:v>
                </c:pt>
                <c:pt idx="3">
                  <c:v>-4.4000000000000004</c:v>
                </c:pt>
                <c:pt idx="4">
                  <c:v>-4.2</c:v>
                </c:pt>
                <c:pt idx="5">
                  <c:v>-4</c:v>
                </c:pt>
                <c:pt idx="6">
                  <c:v>-3.8</c:v>
                </c:pt>
                <c:pt idx="7">
                  <c:v>-3.6</c:v>
                </c:pt>
                <c:pt idx="8">
                  <c:v>-3.4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</c:numCache>
            </c:numRef>
          </c:xVal>
          <c:yVal>
            <c:numRef>
              <c:f>'いない班(非反転増幅回路)'!$O$2:$O$50</c:f>
              <c:numCache>
                <c:formatCode>General</c:formatCode>
                <c:ptCount val="49"/>
                <c:pt idx="0">
                  <c:v>-13.305999999999999</c:v>
                </c:pt>
                <c:pt idx="1">
                  <c:v>-13.268000000000001</c:v>
                </c:pt>
                <c:pt idx="2">
                  <c:v>-13.260999999999999</c:v>
                </c:pt>
                <c:pt idx="3">
                  <c:v>-13.206</c:v>
                </c:pt>
                <c:pt idx="4">
                  <c:v>-12.606</c:v>
                </c:pt>
                <c:pt idx="5">
                  <c:v>-12.006</c:v>
                </c:pt>
                <c:pt idx="6">
                  <c:v>-11.406000000000001</c:v>
                </c:pt>
                <c:pt idx="7">
                  <c:v>-10.805</c:v>
                </c:pt>
                <c:pt idx="8">
                  <c:v>-10.205</c:v>
                </c:pt>
                <c:pt idx="9">
                  <c:v>-9.0039999999999996</c:v>
                </c:pt>
                <c:pt idx="10">
                  <c:v>-6.0030000000000001</c:v>
                </c:pt>
                <c:pt idx="11">
                  <c:v>-3.0009999999999999</c:v>
                </c:pt>
                <c:pt idx="12">
                  <c:v>1.8259999999999999E-3</c:v>
                </c:pt>
                <c:pt idx="13">
                  <c:v>3.004</c:v>
                </c:pt>
                <c:pt idx="14">
                  <c:v>6.0049999999999999</c:v>
                </c:pt>
                <c:pt idx="15">
                  <c:v>9.0069999999999997</c:v>
                </c:pt>
                <c:pt idx="16">
                  <c:v>10.208</c:v>
                </c:pt>
                <c:pt idx="17">
                  <c:v>10.808</c:v>
                </c:pt>
                <c:pt idx="18">
                  <c:v>11.407999999999999</c:v>
                </c:pt>
                <c:pt idx="19">
                  <c:v>12.009</c:v>
                </c:pt>
                <c:pt idx="20">
                  <c:v>12.609</c:v>
                </c:pt>
                <c:pt idx="21">
                  <c:v>13.205</c:v>
                </c:pt>
                <c:pt idx="22">
                  <c:v>13.234999999999999</c:v>
                </c:pt>
                <c:pt idx="23">
                  <c:v>13.234</c:v>
                </c:pt>
                <c:pt idx="24">
                  <c:v>13.234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E7-4932-B45E-134CA52BA2F5}"/>
            </c:ext>
          </c:extLst>
        </c:ser>
        <c:ser>
          <c:idx val="3"/>
          <c:order val="2"/>
          <c:tx>
            <c:v>1kΩ負荷</c:v>
          </c:tx>
          <c:spPr>
            <a:ln w="38100" cap="rnd">
              <a:noFill/>
              <a:round/>
            </a:ln>
            <a:effectLst/>
          </c:spPr>
          <c:marker>
            <c:symbol val="x"/>
            <c:size val="7"/>
          </c:marker>
          <c:xVal>
            <c:numRef>
              <c:f>'いない班(非反転増幅回路)'!$W$2:$W$50</c:f>
              <c:numCache>
                <c:formatCode>General</c:formatCode>
                <c:ptCount val="49"/>
                <c:pt idx="0">
                  <c:v>-5</c:v>
                </c:pt>
                <c:pt idx="1">
                  <c:v>-4.8</c:v>
                </c:pt>
                <c:pt idx="2">
                  <c:v>-4.5999999999999996</c:v>
                </c:pt>
                <c:pt idx="3">
                  <c:v>-4.4000000000000004</c:v>
                </c:pt>
                <c:pt idx="4">
                  <c:v>-4.2</c:v>
                </c:pt>
                <c:pt idx="5">
                  <c:v>-4</c:v>
                </c:pt>
                <c:pt idx="6">
                  <c:v>-3.8</c:v>
                </c:pt>
                <c:pt idx="7">
                  <c:v>-3.6</c:v>
                </c:pt>
                <c:pt idx="8">
                  <c:v>-3.4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</c:numCache>
            </c:numRef>
          </c:xVal>
          <c:yVal>
            <c:numRef>
              <c:f>'いない班(非反転増幅回路)'!$X$2:$X$50</c:f>
              <c:numCache>
                <c:formatCode>General</c:formatCode>
                <c:ptCount val="49"/>
                <c:pt idx="0">
                  <c:v>-11.919</c:v>
                </c:pt>
                <c:pt idx="1">
                  <c:v>-11.919</c:v>
                </c:pt>
                <c:pt idx="2">
                  <c:v>-11.917</c:v>
                </c:pt>
                <c:pt idx="3">
                  <c:v>-11.916</c:v>
                </c:pt>
                <c:pt idx="4">
                  <c:v>-11.914</c:v>
                </c:pt>
                <c:pt idx="5">
                  <c:v>-11.996</c:v>
                </c:pt>
                <c:pt idx="6">
                  <c:v>-11.404999999999999</c:v>
                </c:pt>
                <c:pt idx="7">
                  <c:v>-10.804</c:v>
                </c:pt>
                <c:pt idx="8">
                  <c:v>-10.204000000000001</c:v>
                </c:pt>
                <c:pt idx="9">
                  <c:v>-9.0039999999999996</c:v>
                </c:pt>
                <c:pt idx="10">
                  <c:v>-6.0030000000000001</c:v>
                </c:pt>
                <c:pt idx="11">
                  <c:v>-3.0009999999999999</c:v>
                </c:pt>
                <c:pt idx="12">
                  <c:v>1.787E-3</c:v>
                </c:pt>
                <c:pt idx="13">
                  <c:v>3.004</c:v>
                </c:pt>
                <c:pt idx="14">
                  <c:v>6.0060000000000002</c:v>
                </c:pt>
                <c:pt idx="15">
                  <c:v>9.0069999999999997</c:v>
                </c:pt>
                <c:pt idx="16">
                  <c:v>10.207000000000001</c:v>
                </c:pt>
                <c:pt idx="17">
                  <c:v>10.808</c:v>
                </c:pt>
                <c:pt idx="18">
                  <c:v>11.407999999999999</c:v>
                </c:pt>
                <c:pt idx="19">
                  <c:v>12.009</c:v>
                </c:pt>
                <c:pt idx="20">
                  <c:v>12.608000000000001</c:v>
                </c:pt>
                <c:pt idx="21">
                  <c:v>12.787000000000001</c:v>
                </c:pt>
                <c:pt idx="22">
                  <c:v>12.787000000000001</c:v>
                </c:pt>
                <c:pt idx="23">
                  <c:v>12.787000000000001</c:v>
                </c:pt>
                <c:pt idx="24">
                  <c:v>12.787000000000001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E7-4932-B45E-134CA52BA2F5}"/>
            </c:ext>
          </c:extLst>
        </c:ser>
        <c:ser>
          <c:idx val="0"/>
          <c:order val="3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'いない班(非反転増幅回路)'!$AG$2:$AG$51</c:f>
              <c:numCache>
                <c:formatCode>General</c:formatCode>
                <c:ptCount val="50"/>
                <c:pt idx="0">
                  <c:v>-5</c:v>
                </c:pt>
                <c:pt idx="1">
                  <c:v>-4</c:v>
                </c:pt>
                <c:pt idx="2">
                  <c:v>-3.8</c:v>
                </c:pt>
                <c:pt idx="3">
                  <c:v>-3.6</c:v>
                </c:pt>
                <c:pt idx="4">
                  <c:v>-3.4</c:v>
                </c:pt>
                <c:pt idx="5">
                  <c:v>-3.2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3.2</c:v>
                </c:pt>
                <c:pt idx="14">
                  <c:v>3.4</c:v>
                </c:pt>
                <c:pt idx="15">
                  <c:v>3.6</c:v>
                </c:pt>
                <c:pt idx="16">
                  <c:v>3.8</c:v>
                </c:pt>
                <c:pt idx="17">
                  <c:v>4</c:v>
                </c:pt>
                <c:pt idx="18">
                  <c:v>4.2</c:v>
                </c:pt>
                <c:pt idx="19">
                  <c:v>4.4000000000000004</c:v>
                </c:pt>
                <c:pt idx="20">
                  <c:v>4.5999999999999996</c:v>
                </c:pt>
                <c:pt idx="21">
                  <c:v>5</c:v>
                </c:pt>
              </c:numCache>
            </c:numRef>
          </c:xVal>
          <c:yVal>
            <c:numRef>
              <c:f>'いない班(非反転増幅回路)'!$AH$2:$AH$51</c:f>
              <c:numCache>
                <c:formatCode>General</c:formatCode>
                <c:ptCount val="50"/>
                <c:pt idx="0">
                  <c:v>-10.878</c:v>
                </c:pt>
                <c:pt idx="1">
                  <c:v>-10.805999999999999</c:v>
                </c:pt>
                <c:pt idx="2">
                  <c:v>-10.706</c:v>
                </c:pt>
                <c:pt idx="3">
                  <c:v>-10.702</c:v>
                </c:pt>
                <c:pt idx="4">
                  <c:v>-10.201000000000001</c:v>
                </c:pt>
                <c:pt idx="5">
                  <c:v>-9.6010000000000009</c:v>
                </c:pt>
                <c:pt idx="6">
                  <c:v>-9.0039999999999996</c:v>
                </c:pt>
                <c:pt idx="7">
                  <c:v>-6.0019999999999998</c:v>
                </c:pt>
                <c:pt idx="8">
                  <c:v>-3</c:v>
                </c:pt>
                <c:pt idx="9">
                  <c:v>1.944E-3</c:v>
                </c:pt>
                <c:pt idx="10">
                  <c:v>3.0030000000000001</c:v>
                </c:pt>
                <c:pt idx="11">
                  <c:v>6.0049999999999999</c:v>
                </c:pt>
                <c:pt idx="12">
                  <c:v>9.0060000000000002</c:v>
                </c:pt>
                <c:pt idx="13">
                  <c:v>9.6059999999999999</c:v>
                </c:pt>
                <c:pt idx="14">
                  <c:v>10.206</c:v>
                </c:pt>
                <c:pt idx="15">
                  <c:v>10.805999999999999</c:v>
                </c:pt>
                <c:pt idx="16">
                  <c:v>11.406000000000001</c:v>
                </c:pt>
                <c:pt idx="17">
                  <c:v>12.007999999999999</c:v>
                </c:pt>
                <c:pt idx="18">
                  <c:v>12.414999999999999</c:v>
                </c:pt>
                <c:pt idx="19">
                  <c:v>12.416</c:v>
                </c:pt>
                <c:pt idx="20">
                  <c:v>12.417999999999999</c:v>
                </c:pt>
                <c:pt idx="21">
                  <c:v>12.414999999999999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E7-4932-B45E-134CA52BA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入力電圧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5059126577320602"/>
              <c:y val="0.849215044533069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出力電圧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3.5134875001857156E-2"/>
              <c:y val="0.3053560846440402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64142781441496033"/>
          <c:y val="0.54509299109926079"/>
          <c:w val="0.31849362966919575"/>
          <c:h val="0.29917252160145857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>
      <a:solidFill>
        <a:schemeClr val="bg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無負荷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'いない班(ボルテージフォロワ)'!$B$2:$B$50</c:f>
              <c:numCache>
                <c:formatCode>General</c:formatCode>
                <c:ptCount val="49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'いない班(ボルテージフォロワ)'!$C$2:$C$50</c:f>
              <c:numCache>
                <c:formatCode>0.000</c:formatCode>
                <c:ptCount val="49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-0.99399999999999999</c:v>
                </c:pt>
                <c:pt idx="10" formatCode="0.000000">
                  <c:v>6.2600000000000004E-4</c:v>
                </c:pt>
                <c:pt idx="11" formatCode="0.0000">
                  <c:v>1.0006999999999999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4F-D34A-86BB-37C737338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777072"/>
      </c:scatterChart>
      <c:valAx>
        <c:axId val="26772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777072"/>
        <c:crosses val="autoZero"/>
        <c:crossBetween val="midCat"/>
      </c:valAx>
      <c:valAx>
        <c:axId val="112777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0"/>
                  <a:t>出力電圧</a:t>
                </a:r>
                <a:r>
                  <a:rPr lang="en-US" altLang="ja-JP" b="0"/>
                  <a:t>[V]</a:t>
                </a:r>
                <a:endParaRPr lang="ja-JP" alt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3kΩ負荷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'いない班(ボルテージフォロワ)'!$N$2:$N$50</c:f>
              <c:numCache>
                <c:formatCode>General</c:formatCode>
                <c:ptCount val="49"/>
              </c:numCache>
            </c:numRef>
          </c:xVal>
          <c:yVal>
            <c:numRef>
              <c:f>'いない班(ボルテージフォロワ)'!$O$2:$O$50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29-FF4B-97F5-428770E8C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69184"/>
        <c:axId val="81574480"/>
      </c:scatterChart>
      <c:valAx>
        <c:axId val="81669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574480"/>
        <c:crosses val="autoZero"/>
        <c:crossBetween val="midCat"/>
      </c:valAx>
      <c:valAx>
        <c:axId val="81574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66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'いない班(ボルテージフォロワ)'!$W$2:$W$50</c:f>
              <c:numCache>
                <c:formatCode>General</c:formatCode>
                <c:ptCount val="49"/>
              </c:numCache>
            </c:numRef>
          </c:xVal>
          <c:yVal>
            <c:numRef>
              <c:f>'いない班(ボルテージフォロワ)'!$X$2:$X$50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9-504F-8869-78BC4C2BA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576944"/>
      </c:scatterChart>
      <c:valAx>
        <c:axId val="26772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576944"/>
        <c:crosses val="autoZero"/>
        <c:crossBetween val="midCat"/>
      </c:valAx>
      <c:valAx>
        <c:axId val="112576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'いない班(ボルテージフォロワ)'!$AG$2:$AG$50</c:f>
              <c:numCache>
                <c:formatCode>General</c:formatCode>
                <c:ptCount val="49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'いない班(ボルテージフォロワ)'!$AH$2:$AH$50</c:f>
              <c:numCache>
                <c:formatCode>0.000</c:formatCode>
                <c:ptCount val="49"/>
                <c:pt idx="0" formatCode="General">
                  <c:v>-9.9979999999999993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 formatCode="0.0000">
                  <c:v>-0.99939999999999996</c:v>
                </c:pt>
                <c:pt idx="10" formatCode="0.000000">
                  <c:v>6.2799999999999998E-4</c:v>
                </c:pt>
                <c:pt idx="11" formatCode="0.0000">
                  <c:v>1.0006999999999999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C5-D541-91C9-E65C1790C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76159230096238"/>
          <c:y val="3.0643208386196507E-2"/>
          <c:w val="0.85076618547681537"/>
          <c:h val="0.80458294345796677"/>
        </c:manualLayout>
      </c:layout>
      <c:scatterChart>
        <c:scatterStyle val="lineMarker"/>
        <c:varyColors val="0"/>
        <c:ser>
          <c:idx val="1"/>
          <c:order val="0"/>
          <c:tx>
            <c:v>無負荷</c:v>
          </c:tx>
          <c:spPr>
            <a:ln w="38100">
              <a:noFill/>
            </a:ln>
          </c:spPr>
          <c:xVal>
            <c:numRef>
              <c:f>'いない班(ボルテージフォロワ)'!$B$2:$B$50</c:f>
              <c:numCache>
                <c:formatCode>General</c:formatCode>
                <c:ptCount val="49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'いない班(ボルテージフォロワ)'!$C$2:$C$50</c:f>
              <c:numCache>
                <c:formatCode>0.000</c:formatCode>
                <c:ptCount val="49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-0.99399999999999999</c:v>
                </c:pt>
                <c:pt idx="10" formatCode="0.000000">
                  <c:v>6.2600000000000004E-4</c:v>
                </c:pt>
                <c:pt idx="11" formatCode="0.0000">
                  <c:v>1.0006999999999999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BD-204A-A79D-4FEE79AEC264}"/>
            </c:ext>
          </c:extLst>
        </c:ser>
        <c:ser>
          <c:idx val="2"/>
          <c:order val="1"/>
          <c:tx>
            <c:v>3kΩ負荷</c:v>
          </c:tx>
          <c:spPr>
            <a:ln w="38100" cap="rnd">
              <a:noFill/>
              <a:round/>
            </a:ln>
            <a:effectLst/>
          </c:spPr>
          <c:xVal>
            <c:numRef>
              <c:f>'いない班(ボルテージフォロワ)'!$N$2:$N$50</c:f>
              <c:numCache>
                <c:formatCode>General</c:formatCode>
                <c:ptCount val="49"/>
              </c:numCache>
            </c:numRef>
          </c:xVal>
          <c:yVal>
            <c:numRef>
              <c:f>'いない班(ボルテージフォロワ)'!$O$2:$O$50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BD-204A-A79D-4FEE79AEC264}"/>
            </c:ext>
          </c:extLst>
        </c:ser>
        <c:ser>
          <c:idx val="3"/>
          <c:order val="2"/>
          <c:tx>
            <c:v>1kΩ負荷</c:v>
          </c:tx>
          <c:spPr>
            <a:ln w="38100" cap="rnd">
              <a:noFill/>
              <a:round/>
            </a:ln>
            <a:effectLst/>
          </c:spPr>
          <c:xVal>
            <c:numRef>
              <c:f>'いない班(ボルテージフォロワ)'!$W$2:$W$50</c:f>
              <c:numCache>
                <c:formatCode>General</c:formatCode>
                <c:ptCount val="49"/>
              </c:numCache>
            </c:numRef>
          </c:xVal>
          <c:yVal>
            <c:numRef>
              <c:f>'いない班(ボルテージフォロワ)'!$X$2:$X$50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BD-204A-A79D-4FEE79AEC264}"/>
            </c:ext>
          </c:extLst>
        </c:ser>
        <c:ser>
          <c:idx val="0"/>
          <c:order val="3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'いない班(ボルテージフォロワ)'!$AG$2:$AG$50</c:f>
              <c:numCache>
                <c:formatCode>General</c:formatCode>
                <c:ptCount val="49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'いない班(ボルテージフォロワ)'!$AH$2:$AH$50</c:f>
              <c:numCache>
                <c:formatCode>0.000</c:formatCode>
                <c:ptCount val="49"/>
                <c:pt idx="0" formatCode="General">
                  <c:v>-9.9979999999999993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 formatCode="0.0000">
                  <c:v>-0.99939999999999996</c:v>
                </c:pt>
                <c:pt idx="10" formatCode="0.000000">
                  <c:v>6.2799999999999998E-4</c:v>
                </c:pt>
                <c:pt idx="11" formatCode="0.0000">
                  <c:v>1.0006999999999999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7BD-204A-A79D-4FEE79AEC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66056999125109361"/>
          <c:y val="2.2841960664365724E-2"/>
          <c:w val="0.31849362966919575"/>
          <c:h val="0.29917252160145857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無負荷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'いない班(ボルテージフォロワ) (100kΩ直列)'!$B$2:$B$50</c:f>
              <c:numCache>
                <c:formatCode>General</c:formatCode>
                <c:ptCount val="49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'いない班(ボルテージフォロワ) (100kΩ直列)'!$C$2:$C$50</c:f>
              <c:numCache>
                <c:formatCode>0.000</c:formatCode>
                <c:ptCount val="49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 formatCode="0.0000">
                  <c:v>-0.99980000000000002</c:v>
                </c:pt>
                <c:pt idx="10" formatCode="0.000000">
                  <c:v>1.9599999999999999E-4</c:v>
                </c:pt>
                <c:pt idx="11" formatCode="0.0000">
                  <c:v>1.0003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2F-4107-AEE7-3E5D5A833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777072"/>
      </c:scatterChart>
      <c:valAx>
        <c:axId val="26772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777072"/>
        <c:crosses val="autoZero"/>
        <c:crossBetween val="midCat"/>
      </c:valAx>
      <c:valAx>
        <c:axId val="112777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0"/>
                  <a:t>出力電圧</a:t>
                </a:r>
                <a:r>
                  <a:rPr lang="en-US" altLang="ja-JP" b="0"/>
                  <a:t>[V]</a:t>
                </a:r>
                <a:endParaRPr lang="ja-JP" alt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3kΩ負荷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'いない班(ボルテージフォロワ) (100kΩ直列)'!$N$2:$N$50</c:f>
              <c:numCache>
                <c:formatCode>General</c:formatCode>
                <c:ptCount val="49"/>
              </c:numCache>
            </c:numRef>
          </c:xVal>
          <c:yVal>
            <c:numRef>
              <c:f>'いない班(ボルテージフォロワ) (100kΩ直列)'!$O$2:$O$50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9C-4D9D-9352-9D4CA0CA8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69184"/>
        <c:axId val="81574480"/>
      </c:scatterChart>
      <c:valAx>
        <c:axId val="81669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574480"/>
        <c:crosses val="autoZero"/>
        <c:crossBetween val="midCat"/>
      </c:valAx>
      <c:valAx>
        <c:axId val="81574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66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'いない班(ボルテージフォロワ) (100kΩ直列)'!$W$2:$W$50</c:f>
              <c:numCache>
                <c:formatCode>General</c:formatCode>
                <c:ptCount val="49"/>
              </c:numCache>
            </c:numRef>
          </c:xVal>
          <c:yVal>
            <c:numRef>
              <c:f>'いない班(ボルテージフォロワ) (100kΩ直列)'!$X$2:$X$50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CA-46B0-9865-213A25E61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576944"/>
      </c:scatterChart>
      <c:valAx>
        <c:axId val="26772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576944"/>
        <c:crosses val="autoZero"/>
        <c:crossBetween val="midCat"/>
      </c:valAx>
      <c:valAx>
        <c:axId val="112576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'いない班(ボルテージフォロワ) (100kΩ直列)'!$AG$2:$AG$50</c:f>
              <c:numCache>
                <c:formatCode>General</c:formatCode>
                <c:ptCount val="49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'いない班(ボルテージフォロワ) (100kΩ直列)'!$AH$2:$AH$50</c:f>
              <c:numCache>
                <c:formatCode>0.000</c:formatCode>
                <c:ptCount val="49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 formatCode="0.0000">
                  <c:v>-0.99939999999999996</c:v>
                </c:pt>
                <c:pt idx="10" formatCode="0.000000">
                  <c:v>6.2500000000000001E-4</c:v>
                </c:pt>
                <c:pt idx="11">
                  <c:v>1.0006999999999999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8C-4A8F-9219-AE43B1637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76159230096238"/>
          <c:y val="3.0643208386196507E-2"/>
          <c:w val="0.85076618547681537"/>
          <c:h val="0.80458294345796677"/>
        </c:manualLayout>
      </c:layout>
      <c:scatterChart>
        <c:scatterStyle val="lineMarker"/>
        <c:varyColors val="0"/>
        <c:ser>
          <c:idx val="1"/>
          <c:order val="0"/>
          <c:tx>
            <c:v>無負荷</c:v>
          </c:tx>
          <c:spPr>
            <a:ln w="38100">
              <a:noFill/>
            </a:ln>
          </c:spPr>
          <c:xVal>
            <c:numRef>
              <c:f>'いない班(ボルテージフォロワ) (100kΩ直列)'!$B$2:$B$50</c:f>
              <c:numCache>
                <c:formatCode>General</c:formatCode>
                <c:ptCount val="49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'いない班(ボルテージフォロワ) (100kΩ直列)'!$C$2:$C$50</c:f>
              <c:numCache>
                <c:formatCode>0.000</c:formatCode>
                <c:ptCount val="49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 formatCode="0.0000">
                  <c:v>-0.99980000000000002</c:v>
                </c:pt>
                <c:pt idx="10" formatCode="0.000000">
                  <c:v>1.9599999999999999E-4</c:v>
                </c:pt>
                <c:pt idx="11" formatCode="0.0000">
                  <c:v>1.0003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73-4713-8AFC-561C53DFDBFE}"/>
            </c:ext>
          </c:extLst>
        </c:ser>
        <c:ser>
          <c:idx val="2"/>
          <c:order val="1"/>
          <c:tx>
            <c:v>3kΩ負荷</c:v>
          </c:tx>
          <c:spPr>
            <a:ln w="38100" cap="rnd">
              <a:noFill/>
              <a:round/>
            </a:ln>
            <a:effectLst/>
          </c:spPr>
          <c:xVal>
            <c:numRef>
              <c:f>'いない班(ボルテージフォロワ) (100kΩ直列)'!$N$2:$N$50</c:f>
              <c:numCache>
                <c:formatCode>General</c:formatCode>
                <c:ptCount val="49"/>
              </c:numCache>
            </c:numRef>
          </c:xVal>
          <c:yVal>
            <c:numRef>
              <c:f>'いない班(ボルテージフォロワ) (100kΩ直列)'!$O$2:$O$50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73-4713-8AFC-561C53DFDBFE}"/>
            </c:ext>
          </c:extLst>
        </c:ser>
        <c:ser>
          <c:idx val="3"/>
          <c:order val="2"/>
          <c:tx>
            <c:v>1kΩ負荷</c:v>
          </c:tx>
          <c:spPr>
            <a:ln w="38100" cap="rnd">
              <a:noFill/>
              <a:round/>
            </a:ln>
            <a:effectLst/>
          </c:spPr>
          <c:xVal>
            <c:numRef>
              <c:f>'いない班(ボルテージフォロワ) (100kΩ直列)'!$W$2:$W$50</c:f>
              <c:numCache>
                <c:formatCode>General</c:formatCode>
                <c:ptCount val="49"/>
              </c:numCache>
            </c:numRef>
          </c:xVal>
          <c:yVal>
            <c:numRef>
              <c:f>'いない班(ボルテージフォロワ) (100kΩ直列)'!$X$2:$X$50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73-4713-8AFC-561C53DFDBFE}"/>
            </c:ext>
          </c:extLst>
        </c:ser>
        <c:ser>
          <c:idx val="0"/>
          <c:order val="3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'いない班(ボルテージフォロワ) (100kΩ直列)'!$AG$2:$AG$50</c:f>
              <c:numCache>
                <c:formatCode>General</c:formatCode>
                <c:ptCount val="49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'いない班(ボルテージフォロワ) (100kΩ直列)'!$AH$2:$AH$50</c:f>
              <c:numCache>
                <c:formatCode>0.000</c:formatCode>
                <c:ptCount val="49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 formatCode="0.0000">
                  <c:v>-0.99939999999999996</c:v>
                </c:pt>
                <c:pt idx="10" formatCode="0.000000">
                  <c:v>6.2500000000000001E-4</c:v>
                </c:pt>
                <c:pt idx="11">
                  <c:v>1.0006999999999999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D73-4713-8AFC-561C53DFD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66056999125109361"/>
          <c:y val="2.2841960664365724E-2"/>
          <c:w val="0.31849362966919575"/>
          <c:h val="0.29917252160145857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無負荷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'いない班(加算回路)'!$B$2:$B$50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'いない班(加算回路)'!$C$2:$C$50</c:f>
              <c:numCache>
                <c:formatCode>General</c:formatCode>
                <c:ptCount val="49"/>
                <c:pt idx="0">
                  <c:v>-7.8760000000000003</c:v>
                </c:pt>
                <c:pt idx="1">
                  <c:v>-8.3019999999999996</c:v>
                </c:pt>
                <c:pt idx="2">
                  <c:v>-8.7279999999999998</c:v>
                </c:pt>
                <c:pt idx="3">
                  <c:v>-9.1539999999999999</c:v>
                </c:pt>
                <c:pt idx="4">
                  <c:v>-9.58</c:v>
                </c:pt>
                <c:pt idx="5">
                  <c:v>-10.005000000000001</c:v>
                </c:pt>
                <c:pt idx="6">
                  <c:v>-10.432</c:v>
                </c:pt>
                <c:pt idx="7">
                  <c:v>-10.858000000000001</c:v>
                </c:pt>
                <c:pt idx="8">
                  <c:v>-11.282999999999999</c:v>
                </c:pt>
                <c:pt idx="9">
                  <c:v>-11.709</c:v>
                </c:pt>
                <c:pt idx="10">
                  <c:v>-12.135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8E-422F-962F-1D1BE3E8C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777072"/>
      </c:scatterChart>
      <c:valAx>
        <c:axId val="26772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777072"/>
        <c:crosses val="autoZero"/>
        <c:crossBetween val="midCat"/>
      </c:valAx>
      <c:valAx>
        <c:axId val="112777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0"/>
                  <a:t>出力電圧</a:t>
                </a:r>
                <a:r>
                  <a:rPr lang="en-US" altLang="ja-JP" b="0"/>
                  <a:t>[V]</a:t>
                </a:r>
                <a:endParaRPr lang="ja-JP" alt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3kΩ負荷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'いない班(加算回路)'!$N$2:$N$50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'いない班(加算回路)'!$O$2:$O$50</c:f>
              <c:numCache>
                <c:formatCode>General</c:formatCode>
                <c:ptCount val="49"/>
                <c:pt idx="0" formatCode="0.000">
                  <c:v>7.88</c:v>
                </c:pt>
                <c:pt idx="1">
                  <c:v>5.8780000000000001</c:v>
                </c:pt>
                <c:pt idx="2">
                  <c:v>3.8769999999999998</c:v>
                </c:pt>
                <c:pt idx="3">
                  <c:v>1.875</c:v>
                </c:pt>
                <c:pt idx="4">
                  <c:v>-0.12640000000000001</c:v>
                </c:pt>
                <c:pt idx="5">
                  <c:v>-2.129</c:v>
                </c:pt>
                <c:pt idx="6" formatCode="0.000">
                  <c:v>-4.13</c:v>
                </c:pt>
                <c:pt idx="7">
                  <c:v>-6.1310000000000002</c:v>
                </c:pt>
                <c:pt idx="8">
                  <c:v>-8.1329999999999991</c:v>
                </c:pt>
                <c:pt idx="9">
                  <c:v>-10.134</c:v>
                </c:pt>
                <c:pt idx="10">
                  <c:v>-12.135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F6-4DBB-BD39-917583929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69184"/>
        <c:axId val="81574480"/>
      </c:scatterChart>
      <c:valAx>
        <c:axId val="81669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574480"/>
        <c:crosses val="autoZero"/>
        <c:crossBetween val="midCat"/>
      </c:valAx>
      <c:valAx>
        <c:axId val="81574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66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'いない班(加算回路)'!$W$2:$W$50</c:f>
              <c:numCache>
                <c:formatCode>General</c:formatCode>
                <c:ptCount val="49"/>
              </c:numCache>
            </c:numRef>
          </c:xVal>
          <c:yVal>
            <c:numRef>
              <c:f>'いない班(加算回路)'!$X$2:$X$50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71-49C2-BCC2-ACAAA1C5D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576944"/>
      </c:scatterChart>
      <c:valAx>
        <c:axId val="26772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576944"/>
        <c:crosses val="autoZero"/>
        <c:crossBetween val="midCat"/>
      </c:valAx>
      <c:valAx>
        <c:axId val="112576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'いない班(加算回路)'!$AG$2:$AG$50</c:f>
              <c:numCache>
                <c:formatCode>General</c:formatCode>
                <c:ptCount val="49"/>
              </c:numCache>
            </c:numRef>
          </c:xVal>
          <c:yVal>
            <c:numRef>
              <c:f>'いない班(加算回路)'!$AH$2:$AH$50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48-4B15-91BF-B5753858D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76159230096238"/>
          <c:y val="3.0643208386196507E-2"/>
          <c:w val="0.85076618547681537"/>
          <c:h val="0.80458294345796677"/>
        </c:manualLayout>
      </c:layout>
      <c:scatterChart>
        <c:scatterStyle val="lineMarker"/>
        <c:varyColors val="0"/>
        <c:ser>
          <c:idx val="1"/>
          <c:order val="0"/>
          <c:tx>
            <c:v>無負荷</c:v>
          </c:tx>
          <c:spPr>
            <a:ln w="38100">
              <a:noFill/>
            </a:ln>
          </c:spPr>
          <c:xVal>
            <c:numRef>
              <c:f>'いない班(加算回路)'!$B$2:$B$50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'いない班(加算回路)'!$C$2:$C$50</c:f>
              <c:numCache>
                <c:formatCode>General</c:formatCode>
                <c:ptCount val="49"/>
                <c:pt idx="0">
                  <c:v>-7.8760000000000003</c:v>
                </c:pt>
                <c:pt idx="1">
                  <c:v>-8.3019999999999996</c:v>
                </c:pt>
                <c:pt idx="2">
                  <c:v>-8.7279999999999998</c:v>
                </c:pt>
                <c:pt idx="3">
                  <c:v>-9.1539999999999999</c:v>
                </c:pt>
                <c:pt idx="4">
                  <c:v>-9.58</c:v>
                </c:pt>
                <c:pt idx="5">
                  <c:v>-10.005000000000001</c:v>
                </c:pt>
                <c:pt idx="6">
                  <c:v>-10.432</c:v>
                </c:pt>
                <c:pt idx="7">
                  <c:v>-10.858000000000001</c:v>
                </c:pt>
                <c:pt idx="8">
                  <c:v>-11.282999999999999</c:v>
                </c:pt>
                <c:pt idx="9">
                  <c:v>-11.709</c:v>
                </c:pt>
                <c:pt idx="10">
                  <c:v>-12.135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22-4C16-86DA-B8B02A88066F}"/>
            </c:ext>
          </c:extLst>
        </c:ser>
        <c:ser>
          <c:idx val="2"/>
          <c:order val="1"/>
          <c:tx>
            <c:v>3kΩ負荷</c:v>
          </c:tx>
          <c:spPr>
            <a:ln w="38100" cap="rnd">
              <a:noFill/>
              <a:round/>
            </a:ln>
            <a:effectLst/>
          </c:spPr>
          <c:xVal>
            <c:numRef>
              <c:f>'いない班(加算回路)'!$N$2:$N$50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'いない班(加算回路)'!$O$2:$O$50</c:f>
              <c:numCache>
                <c:formatCode>General</c:formatCode>
                <c:ptCount val="49"/>
                <c:pt idx="0" formatCode="0.000">
                  <c:v>7.88</c:v>
                </c:pt>
                <c:pt idx="1">
                  <c:v>5.8780000000000001</c:v>
                </c:pt>
                <c:pt idx="2">
                  <c:v>3.8769999999999998</c:v>
                </c:pt>
                <c:pt idx="3">
                  <c:v>1.875</c:v>
                </c:pt>
                <c:pt idx="4">
                  <c:v>-0.12640000000000001</c:v>
                </c:pt>
                <c:pt idx="5">
                  <c:v>-2.129</c:v>
                </c:pt>
                <c:pt idx="6" formatCode="0.000">
                  <c:v>-4.13</c:v>
                </c:pt>
                <c:pt idx="7">
                  <c:v>-6.1310000000000002</c:v>
                </c:pt>
                <c:pt idx="8">
                  <c:v>-8.1329999999999991</c:v>
                </c:pt>
                <c:pt idx="9">
                  <c:v>-10.134</c:v>
                </c:pt>
                <c:pt idx="10">
                  <c:v>-12.135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22-4C16-86DA-B8B02A88066F}"/>
            </c:ext>
          </c:extLst>
        </c:ser>
        <c:ser>
          <c:idx val="3"/>
          <c:order val="2"/>
          <c:tx>
            <c:v>1kΩ負荷</c:v>
          </c:tx>
          <c:spPr>
            <a:ln w="38100" cap="rnd">
              <a:noFill/>
              <a:round/>
            </a:ln>
            <a:effectLst/>
          </c:spPr>
          <c:xVal>
            <c:numRef>
              <c:f>'いない班(加算回路)'!$W$2:$W$50</c:f>
              <c:numCache>
                <c:formatCode>General</c:formatCode>
                <c:ptCount val="49"/>
              </c:numCache>
            </c:numRef>
          </c:xVal>
          <c:yVal>
            <c:numRef>
              <c:f>'いない班(加算回路)'!$X$2:$X$50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22-4C16-86DA-B8B02A88066F}"/>
            </c:ext>
          </c:extLst>
        </c:ser>
        <c:ser>
          <c:idx val="0"/>
          <c:order val="3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'いない班(加算回路)'!$AG$2:$AG$50</c:f>
              <c:numCache>
                <c:formatCode>General</c:formatCode>
                <c:ptCount val="49"/>
              </c:numCache>
            </c:numRef>
          </c:xVal>
          <c:yVal>
            <c:numRef>
              <c:f>'いない班(加算回路)'!$AH$2:$AH$50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22-4C16-86DA-B8B02A880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66056999125109361"/>
          <c:y val="2.2841960664365724E-2"/>
          <c:w val="0.31849362966919575"/>
          <c:h val="0.29917252160145857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無負荷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　いない班(減算回路) '!$B$2:$B$50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-1.8</c:v>
                </c:pt>
                <c:pt idx="5">
                  <c:v>-1.6</c:v>
                </c:pt>
                <c:pt idx="6">
                  <c:v>-1.4</c:v>
                </c:pt>
                <c:pt idx="7">
                  <c:v>-1.2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</c:numCache>
            </c:numRef>
          </c:xVal>
          <c:yVal>
            <c:numRef>
              <c:f>'　いない班(減算回路) '!$C$2:$C$50</c:f>
              <c:numCache>
                <c:formatCode>General</c:formatCode>
                <c:ptCount val="49"/>
                <c:pt idx="0">
                  <c:v>13.417999999999999</c:v>
                </c:pt>
                <c:pt idx="1">
                  <c:v>13.42</c:v>
                </c:pt>
                <c:pt idx="2">
                  <c:v>13.422000000000001</c:v>
                </c:pt>
                <c:pt idx="3">
                  <c:v>13.423</c:v>
                </c:pt>
                <c:pt idx="4">
                  <c:v>13.423999999999999</c:v>
                </c:pt>
                <c:pt idx="5">
                  <c:v>13.176</c:v>
                </c:pt>
                <c:pt idx="6">
                  <c:v>12.776</c:v>
                </c:pt>
                <c:pt idx="7">
                  <c:v>12.375999999999999</c:v>
                </c:pt>
                <c:pt idx="8">
                  <c:v>11.977</c:v>
                </c:pt>
                <c:pt idx="9">
                  <c:v>9.9760000000000009</c:v>
                </c:pt>
                <c:pt idx="10">
                  <c:v>7.9740000000000002</c:v>
                </c:pt>
                <c:pt idx="11">
                  <c:v>5.9720000000000004</c:v>
                </c:pt>
                <c:pt idx="12">
                  <c:v>3.97</c:v>
                </c:pt>
                <c:pt idx="13">
                  <c:v>1.9690000000000001</c:v>
                </c:pt>
                <c:pt idx="14">
                  <c:v>-3.2579999999999998E-2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0A-4D95-A0FC-1FDC95C64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777072"/>
      </c:scatterChart>
      <c:valAx>
        <c:axId val="26772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777072"/>
        <c:crosses val="autoZero"/>
        <c:crossBetween val="midCat"/>
      </c:valAx>
      <c:valAx>
        <c:axId val="112777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0"/>
                  <a:t>出力電圧</a:t>
                </a:r>
                <a:r>
                  <a:rPr lang="en-US" altLang="ja-JP" b="0"/>
                  <a:t>[V]</a:t>
                </a:r>
                <a:endParaRPr lang="ja-JP" alt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3kΩ負荷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　いない班(減算回路) '!$N$2:$N$50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-2.8</c:v>
                </c:pt>
                <c:pt idx="4">
                  <c:v>-2.6</c:v>
                </c:pt>
                <c:pt idx="5">
                  <c:v>-2.4</c:v>
                </c:pt>
                <c:pt idx="6">
                  <c:v>-2.2000000000000002</c:v>
                </c:pt>
                <c:pt idx="7">
                  <c:v>-2</c:v>
                </c:pt>
                <c:pt idx="8">
                  <c:v>-1.8</c:v>
                </c:pt>
                <c:pt idx="9">
                  <c:v>-1.6</c:v>
                </c:pt>
                <c:pt idx="10">
                  <c:v>-1.4</c:v>
                </c:pt>
                <c:pt idx="11">
                  <c:v>-1.2</c:v>
                </c:pt>
                <c:pt idx="12">
                  <c:v>-1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</c:numCache>
            </c:numRef>
          </c:xVal>
          <c:yVal>
            <c:numRef>
              <c:f>'　いない班(減算回路) '!$O$2:$O$50</c:f>
              <c:numCache>
                <c:formatCode>General</c:formatCode>
                <c:ptCount val="49"/>
                <c:pt idx="0">
                  <c:v>-14.256</c:v>
                </c:pt>
                <c:pt idx="1">
                  <c:v>-14.254</c:v>
                </c:pt>
                <c:pt idx="2">
                  <c:v>-14.253</c:v>
                </c:pt>
                <c:pt idx="3">
                  <c:v>-14.247999999999999</c:v>
                </c:pt>
                <c:pt idx="4">
                  <c:v>-14.205</c:v>
                </c:pt>
                <c:pt idx="5">
                  <c:v>-14.148999999999999</c:v>
                </c:pt>
                <c:pt idx="6">
                  <c:v>-14.079000000000001</c:v>
                </c:pt>
                <c:pt idx="7">
                  <c:v>-13.965999999999999</c:v>
                </c:pt>
                <c:pt idx="8">
                  <c:v>-13.598000000000001</c:v>
                </c:pt>
                <c:pt idx="9">
                  <c:v>-13.199</c:v>
                </c:pt>
                <c:pt idx="10">
                  <c:v>-12.8</c:v>
                </c:pt>
                <c:pt idx="11">
                  <c:v>-12.401</c:v>
                </c:pt>
                <c:pt idx="12">
                  <c:v>-11.999000000000001</c:v>
                </c:pt>
                <c:pt idx="13">
                  <c:v>-10.006</c:v>
                </c:pt>
                <c:pt idx="14">
                  <c:v>-8.0109999999999992</c:v>
                </c:pt>
                <c:pt idx="15">
                  <c:v>-6.016</c:v>
                </c:pt>
                <c:pt idx="16">
                  <c:v>-4.0220000000000002</c:v>
                </c:pt>
                <c:pt idx="17">
                  <c:v>-2.0270000000000001</c:v>
                </c:pt>
                <c:pt idx="18">
                  <c:v>-3.2320000000000001E-3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4E-4CE1-8423-93E6B3808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69184"/>
        <c:axId val="81574480"/>
      </c:scatterChart>
      <c:valAx>
        <c:axId val="81669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574480"/>
        <c:crosses val="autoZero"/>
        <c:crossBetween val="midCat"/>
      </c:valAx>
      <c:valAx>
        <c:axId val="81574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66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　いない班(減算回路) '!$W$2:$W$50</c:f>
              <c:numCache>
                <c:formatCode>General</c:formatCode>
                <c:ptCount val="49"/>
              </c:numCache>
            </c:numRef>
          </c:xVal>
          <c:yVal>
            <c:numRef>
              <c:f>'　いない班(減算回路) '!$X$2:$X$50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36-439B-BA12-2174A363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576944"/>
      </c:scatterChart>
      <c:valAx>
        <c:axId val="26772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576944"/>
        <c:crosses val="autoZero"/>
        <c:crossBetween val="midCat"/>
      </c:valAx>
      <c:valAx>
        <c:axId val="112576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　いない班(減算回路) '!$AG$2:$AG$50</c:f>
              <c:numCache>
                <c:formatCode>General</c:formatCode>
                <c:ptCount val="49"/>
              </c:numCache>
            </c:numRef>
          </c:xVal>
          <c:yVal>
            <c:numRef>
              <c:f>'　いない班(減算回路) '!$AH$2:$AH$50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10-4434-9704-24609B8A9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78248031496063"/>
          <c:y val="5.8082142058509929E-2"/>
          <c:w val="0.85076618547681537"/>
          <c:h val="0.80458294345796677"/>
        </c:manualLayout>
      </c:layout>
      <c:scatterChart>
        <c:scatterStyle val="lineMarker"/>
        <c:varyColors val="0"/>
        <c:ser>
          <c:idx val="1"/>
          <c:order val="0"/>
          <c:tx>
            <c:v>無負荷</c:v>
          </c:tx>
          <c:spPr>
            <a:ln w="38100">
              <a:noFill/>
            </a:ln>
          </c:spPr>
          <c:xVal>
            <c:numRef>
              <c:f>'　いない班(減算回路) '!$B$2:$B$50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-1.8</c:v>
                </c:pt>
                <c:pt idx="5">
                  <c:v>-1.6</c:v>
                </c:pt>
                <c:pt idx="6">
                  <c:v>-1.4</c:v>
                </c:pt>
                <c:pt idx="7">
                  <c:v>-1.2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</c:numCache>
            </c:numRef>
          </c:xVal>
          <c:yVal>
            <c:numRef>
              <c:f>'　いない班(減算回路) '!$C$2:$C$50</c:f>
              <c:numCache>
                <c:formatCode>General</c:formatCode>
                <c:ptCount val="49"/>
                <c:pt idx="0">
                  <c:v>13.417999999999999</c:v>
                </c:pt>
                <c:pt idx="1">
                  <c:v>13.42</c:v>
                </c:pt>
                <c:pt idx="2">
                  <c:v>13.422000000000001</c:v>
                </c:pt>
                <c:pt idx="3">
                  <c:v>13.423</c:v>
                </c:pt>
                <c:pt idx="4">
                  <c:v>13.423999999999999</c:v>
                </c:pt>
                <c:pt idx="5">
                  <c:v>13.176</c:v>
                </c:pt>
                <c:pt idx="6">
                  <c:v>12.776</c:v>
                </c:pt>
                <c:pt idx="7">
                  <c:v>12.375999999999999</c:v>
                </c:pt>
                <c:pt idx="8">
                  <c:v>11.977</c:v>
                </c:pt>
                <c:pt idx="9">
                  <c:v>9.9760000000000009</c:v>
                </c:pt>
                <c:pt idx="10">
                  <c:v>7.9740000000000002</c:v>
                </c:pt>
                <c:pt idx="11">
                  <c:v>5.9720000000000004</c:v>
                </c:pt>
                <c:pt idx="12">
                  <c:v>3.97</c:v>
                </c:pt>
                <c:pt idx="13">
                  <c:v>1.9690000000000001</c:v>
                </c:pt>
                <c:pt idx="14">
                  <c:v>-3.2579999999999998E-2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98-47DE-917B-E7D326B5DB56}"/>
            </c:ext>
          </c:extLst>
        </c:ser>
        <c:ser>
          <c:idx val="2"/>
          <c:order val="1"/>
          <c:tx>
            <c:v>3kΩ負荷</c:v>
          </c:tx>
          <c:spPr>
            <a:ln w="38100" cap="rnd">
              <a:noFill/>
              <a:round/>
            </a:ln>
            <a:effectLst/>
          </c:spPr>
          <c:xVal>
            <c:numRef>
              <c:f>'　いない班(減算回路) '!$N$2:$N$50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-2.8</c:v>
                </c:pt>
                <c:pt idx="4">
                  <c:v>-2.6</c:v>
                </c:pt>
                <c:pt idx="5">
                  <c:v>-2.4</c:v>
                </c:pt>
                <c:pt idx="6">
                  <c:v>-2.2000000000000002</c:v>
                </c:pt>
                <c:pt idx="7">
                  <c:v>-2</c:v>
                </c:pt>
                <c:pt idx="8">
                  <c:v>-1.8</c:v>
                </c:pt>
                <c:pt idx="9">
                  <c:v>-1.6</c:v>
                </c:pt>
                <c:pt idx="10">
                  <c:v>-1.4</c:v>
                </c:pt>
                <c:pt idx="11">
                  <c:v>-1.2</c:v>
                </c:pt>
                <c:pt idx="12">
                  <c:v>-1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</c:numCache>
            </c:numRef>
          </c:xVal>
          <c:yVal>
            <c:numRef>
              <c:f>'　いない班(減算回路) '!$O$2:$O$50</c:f>
              <c:numCache>
                <c:formatCode>General</c:formatCode>
                <c:ptCount val="49"/>
                <c:pt idx="0">
                  <c:v>-14.256</c:v>
                </c:pt>
                <c:pt idx="1">
                  <c:v>-14.254</c:v>
                </c:pt>
                <c:pt idx="2">
                  <c:v>-14.253</c:v>
                </c:pt>
                <c:pt idx="3">
                  <c:v>-14.247999999999999</c:v>
                </c:pt>
                <c:pt idx="4">
                  <c:v>-14.205</c:v>
                </c:pt>
                <c:pt idx="5">
                  <c:v>-14.148999999999999</c:v>
                </c:pt>
                <c:pt idx="6">
                  <c:v>-14.079000000000001</c:v>
                </c:pt>
                <c:pt idx="7">
                  <c:v>-13.965999999999999</c:v>
                </c:pt>
                <c:pt idx="8">
                  <c:v>-13.598000000000001</c:v>
                </c:pt>
                <c:pt idx="9">
                  <c:v>-13.199</c:v>
                </c:pt>
                <c:pt idx="10">
                  <c:v>-12.8</c:v>
                </c:pt>
                <c:pt idx="11">
                  <c:v>-12.401</c:v>
                </c:pt>
                <c:pt idx="12">
                  <c:v>-11.999000000000001</c:v>
                </c:pt>
                <c:pt idx="13">
                  <c:v>-10.006</c:v>
                </c:pt>
                <c:pt idx="14">
                  <c:v>-8.0109999999999992</c:v>
                </c:pt>
                <c:pt idx="15">
                  <c:v>-6.016</c:v>
                </c:pt>
                <c:pt idx="16">
                  <c:v>-4.0220000000000002</c:v>
                </c:pt>
                <c:pt idx="17">
                  <c:v>-2.0270000000000001</c:v>
                </c:pt>
                <c:pt idx="18">
                  <c:v>-3.2320000000000001E-3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98-47DE-917B-E7D326B5DB56}"/>
            </c:ext>
          </c:extLst>
        </c:ser>
        <c:ser>
          <c:idx val="3"/>
          <c:order val="2"/>
          <c:tx>
            <c:v>1kΩ負荷</c:v>
          </c:tx>
          <c:spPr>
            <a:ln w="38100" cap="rnd">
              <a:noFill/>
              <a:round/>
            </a:ln>
            <a:effectLst/>
          </c:spPr>
          <c:xVal>
            <c:numRef>
              <c:f>'　いない班(減算回路) '!$W$2:$W$50</c:f>
              <c:numCache>
                <c:formatCode>General</c:formatCode>
                <c:ptCount val="49"/>
              </c:numCache>
            </c:numRef>
          </c:xVal>
          <c:yVal>
            <c:numRef>
              <c:f>'　いない班(減算回路) '!$X$2:$X$50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98-47DE-917B-E7D326B5DB56}"/>
            </c:ext>
          </c:extLst>
        </c:ser>
        <c:ser>
          <c:idx val="0"/>
          <c:order val="3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　いない班(減算回路) '!$AG$2:$AG$50</c:f>
              <c:numCache>
                <c:formatCode>General</c:formatCode>
                <c:ptCount val="49"/>
              </c:numCache>
            </c:numRef>
          </c:xVal>
          <c:yVal>
            <c:numRef>
              <c:f>'　いない班(減算回路) '!$AH$2:$AH$50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98-47DE-917B-E7D326B5D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66056999125109361"/>
          <c:y val="2.2841960664365724E-2"/>
          <c:w val="0.31849362966919575"/>
          <c:h val="0.29917252160145857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無負荷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コピー元!$B$2:$B$50</c:f>
              <c:numCache>
                <c:formatCode>General</c:formatCode>
                <c:ptCount val="49"/>
              </c:numCache>
            </c:numRef>
          </c:xVal>
          <c:yVal>
            <c:numRef>
              <c:f>コピー元!$C$2:$C$50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C1-B74E-AA3C-98F1A92B7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777072"/>
      </c:scatterChart>
      <c:valAx>
        <c:axId val="26772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777072"/>
        <c:crosses val="autoZero"/>
        <c:crossBetween val="midCat"/>
      </c:valAx>
      <c:valAx>
        <c:axId val="112777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0"/>
                  <a:t>出力電圧</a:t>
                </a:r>
                <a:r>
                  <a:rPr lang="en-US" altLang="ja-JP" b="0"/>
                  <a:t>[V]</a:t>
                </a:r>
                <a:endParaRPr lang="ja-JP" alt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3kΩ負荷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コピー元!$N$2:$N$50</c:f>
              <c:numCache>
                <c:formatCode>General</c:formatCode>
                <c:ptCount val="49"/>
              </c:numCache>
            </c:numRef>
          </c:xVal>
          <c:yVal>
            <c:numRef>
              <c:f>コピー元!$O$2:$O$50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9E-7A42-B475-7BEDDCA31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69184"/>
        <c:axId val="81574480"/>
      </c:scatterChart>
      <c:valAx>
        <c:axId val="81669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574480"/>
        <c:crosses val="autoZero"/>
        <c:crossBetween val="midCat"/>
      </c:valAx>
      <c:valAx>
        <c:axId val="81574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66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コピー元!$W$2:$W$50</c:f>
              <c:numCache>
                <c:formatCode>General</c:formatCode>
                <c:ptCount val="49"/>
              </c:numCache>
            </c:numRef>
          </c:xVal>
          <c:yVal>
            <c:numRef>
              <c:f>コピー元!$X$2:$X$50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62-A14F-A1B9-F609FF4F2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576944"/>
      </c:scatterChart>
      <c:valAx>
        <c:axId val="26772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576944"/>
        <c:crosses val="autoZero"/>
        <c:crossBetween val="midCat"/>
      </c:valAx>
      <c:valAx>
        <c:axId val="112576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コピー元!$AG$2:$AG$50</c:f>
              <c:numCache>
                <c:formatCode>General</c:formatCode>
                <c:ptCount val="49"/>
              </c:numCache>
            </c:numRef>
          </c:xVal>
          <c:yVal>
            <c:numRef>
              <c:f>コピー元!$AH$2:$AH$50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4F-9249-B304-C95D8689C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76159230096238"/>
          <c:y val="3.0643208386196507E-2"/>
          <c:w val="0.85076618547681537"/>
          <c:h val="0.80458294345796677"/>
        </c:manualLayout>
      </c:layout>
      <c:scatterChart>
        <c:scatterStyle val="lineMarker"/>
        <c:varyColors val="0"/>
        <c:ser>
          <c:idx val="1"/>
          <c:order val="0"/>
          <c:tx>
            <c:v>無負荷</c:v>
          </c:tx>
          <c:spPr>
            <a:ln w="38100">
              <a:noFill/>
            </a:ln>
          </c:spPr>
          <c:xVal>
            <c:numRef>
              <c:f>コピー元!$B$2:$B$50</c:f>
              <c:numCache>
                <c:formatCode>General</c:formatCode>
                <c:ptCount val="49"/>
              </c:numCache>
            </c:numRef>
          </c:xVal>
          <c:yVal>
            <c:numRef>
              <c:f>コピー元!$C$2:$C$50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8E4-154A-8818-991120E5F070}"/>
            </c:ext>
          </c:extLst>
        </c:ser>
        <c:ser>
          <c:idx val="2"/>
          <c:order val="1"/>
          <c:tx>
            <c:v>3kΩ負荷</c:v>
          </c:tx>
          <c:spPr>
            <a:ln w="38100" cap="rnd">
              <a:noFill/>
              <a:round/>
            </a:ln>
            <a:effectLst/>
          </c:spPr>
          <c:xVal>
            <c:numRef>
              <c:f>コピー元!$N$2:$N$50</c:f>
              <c:numCache>
                <c:formatCode>General</c:formatCode>
                <c:ptCount val="49"/>
              </c:numCache>
            </c:numRef>
          </c:xVal>
          <c:yVal>
            <c:numRef>
              <c:f>コピー元!$O$2:$O$50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8E4-154A-8818-991120E5F070}"/>
            </c:ext>
          </c:extLst>
        </c:ser>
        <c:ser>
          <c:idx val="3"/>
          <c:order val="2"/>
          <c:tx>
            <c:v>1kΩ負荷</c:v>
          </c:tx>
          <c:spPr>
            <a:ln w="38100" cap="rnd">
              <a:noFill/>
              <a:round/>
            </a:ln>
            <a:effectLst/>
          </c:spPr>
          <c:xVal>
            <c:numRef>
              <c:f>コピー元!$W$2:$W$50</c:f>
              <c:numCache>
                <c:formatCode>General</c:formatCode>
                <c:ptCount val="49"/>
              </c:numCache>
            </c:numRef>
          </c:xVal>
          <c:yVal>
            <c:numRef>
              <c:f>コピー元!$X$2:$X$50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8E4-154A-8818-991120E5F070}"/>
            </c:ext>
          </c:extLst>
        </c:ser>
        <c:ser>
          <c:idx val="0"/>
          <c:order val="3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コピー元!$AG$2:$AG$50</c:f>
              <c:numCache>
                <c:formatCode>General</c:formatCode>
                <c:ptCount val="49"/>
              </c:numCache>
            </c:numRef>
          </c:xVal>
          <c:yVal>
            <c:numRef>
              <c:f>コピー元!$AH$2:$AH$50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8E4-154A-8818-991120E5F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66056999125109361"/>
          <c:y val="2.2841960664365724E-2"/>
          <c:w val="0.31849362966919575"/>
          <c:h val="0.29917252160145857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5" Type="http://schemas.openxmlformats.org/officeDocument/2006/relationships/chart" Target="../charts/chart38.xml"/><Relationship Id="rId4" Type="http://schemas.openxmlformats.org/officeDocument/2006/relationships/chart" Target="../charts/chart3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5" Type="http://schemas.openxmlformats.org/officeDocument/2006/relationships/chart" Target="../charts/chart44.xml"/><Relationship Id="rId4" Type="http://schemas.openxmlformats.org/officeDocument/2006/relationships/chart" Target="../charts/chart43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5" Type="http://schemas.openxmlformats.org/officeDocument/2006/relationships/chart" Target="../charts/chart49.xml"/><Relationship Id="rId4" Type="http://schemas.openxmlformats.org/officeDocument/2006/relationships/chart" Target="../charts/chart4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Relationship Id="rId5" Type="http://schemas.openxmlformats.org/officeDocument/2006/relationships/chart" Target="../charts/chart54.xml"/><Relationship Id="rId4" Type="http://schemas.openxmlformats.org/officeDocument/2006/relationships/chart" Target="../charts/chart53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7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5" Type="http://schemas.openxmlformats.org/officeDocument/2006/relationships/chart" Target="../charts/chart59.xml"/><Relationship Id="rId4" Type="http://schemas.openxmlformats.org/officeDocument/2006/relationships/chart" Target="../charts/chart58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2.xml"/><Relationship Id="rId2" Type="http://schemas.openxmlformats.org/officeDocument/2006/relationships/chart" Target="../charts/chart61.xml"/><Relationship Id="rId1" Type="http://schemas.openxmlformats.org/officeDocument/2006/relationships/chart" Target="../charts/chart60.xml"/><Relationship Id="rId5" Type="http://schemas.openxmlformats.org/officeDocument/2006/relationships/chart" Target="../charts/chart64.xml"/><Relationship Id="rId4" Type="http://schemas.openxmlformats.org/officeDocument/2006/relationships/chart" Target="../charts/chart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4182</xdr:colOff>
      <xdr:row>0</xdr:row>
      <xdr:rowOff>239287</xdr:rowOff>
    </xdr:from>
    <xdr:to>
      <xdr:col>10</xdr:col>
      <xdr:colOff>766181</xdr:colOff>
      <xdr:row>11</xdr:row>
      <xdr:rowOff>188487</xdr:rowOff>
    </xdr:to>
    <xdr:graphicFrame macro="">
      <xdr:nvGraphicFramePr>
        <xdr:cNvPr id="28" name="グラフ 1">
          <a:extLst>
            <a:ext uri="{FF2B5EF4-FFF2-40B4-BE49-F238E27FC236}">
              <a16:creationId xmlns:a16="http://schemas.microsoft.com/office/drawing/2014/main" id="{34740124-37C4-F942-BA53-8435DA99C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165046</xdr:colOff>
      <xdr:row>0</xdr:row>
      <xdr:rowOff>62905</xdr:rowOff>
    </xdr:from>
    <xdr:to>
      <xdr:col>19</xdr:col>
      <xdr:colOff>931785</xdr:colOff>
      <xdr:row>10</xdr:row>
      <xdr:rowOff>247151</xdr:rowOff>
    </xdr:to>
    <xdr:graphicFrame macro="">
      <xdr:nvGraphicFramePr>
        <xdr:cNvPr id="10" name="グラフ 2">
          <a:extLst>
            <a:ext uri="{FF2B5EF4-FFF2-40B4-BE49-F238E27FC236}">
              <a16:creationId xmlns:a16="http://schemas.microsoft.com/office/drawing/2014/main" id="{9B7658A2-3103-9C42-A4E8-156E9A199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44824</xdr:colOff>
      <xdr:row>0</xdr:row>
      <xdr:rowOff>242047</xdr:rowOff>
    </xdr:from>
    <xdr:to>
      <xdr:col>29</xdr:col>
      <xdr:colOff>791883</xdr:colOff>
      <xdr:row>11</xdr:row>
      <xdr:rowOff>161365</xdr:rowOff>
    </xdr:to>
    <xdr:graphicFrame macro="">
      <xdr:nvGraphicFramePr>
        <xdr:cNvPr id="12" name="グラフ 3">
          <a:extLst>
            <a:ext uri="{FF2B5EF4-FFF2-40B4-BE49-F238E27FC236}">
              <a16:creationId xmlns:a16="http://schemas.microsoft.com/office/drawing/2014/main" id="{B75F0F59-B4C9-2440-838A-0DA38EE1D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647364</xdr:colOff>
      <xdr:row>0</xdr:row>
      <xdr:rowOff>0</xdr:rowOff>
    </xdr:from>
    <xdr:to>
      <xdr:col>39</xdr:col>
      <xdr:colOff>442815</xdr:colOff>
      <xdr:row>10</xdr:row>
      <xdr:rowOff>135766</xdr:rowOff>
    </xdr:to>
    <xdr:graphicFrame macro="">
      <xdr:nvGraphicFramePr>
        <xdr:cNvPr id="14" name="グラフ 4">
          <a:extLst>
            <a:ext uri="{FF2B5EF4-FFF2-40B4-BE49-F238E27FC236}">
              <a16:creationId xmlns:a16="http://schemas.microsoft.com/office/drawing/2014/main" id="{8DCD9DC3-9259-BE4B-9300-B67B5D8A0B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16</xdr:row>
      <xdr:rowOff>0</xdr:rowOff>
    </xdr:from>
    <xdr:to>
      <xdr:col>39</xdr:col>
      <xdr:colOff>762000</xdr:colOff>
      <xdr:row>26</xdr:row>
      <xdr:rowOff>237067</xdr:rowOff>
    </xdr:to>
    <xdr:graphicFrame macro="">
      <xdr:nvGraphicFramePr>
        <xdr:cNvPr id="22" name="グラフ 5">
          <a:extLst>
            <a:ext uri="{FF2B5EF4-FFF2-40B4-BE49-F238E27FC236}">
              <a16:creationId xmlns:a16="http://schemas.microsoft.com/office/drawing/2014/main" id="{6C1B6894-41BD-FC4F-A28E-C19451F48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4182</xdr:colOff>
      <xdr:row>0</xdr:row>
      <xdr:rowOff>239287</xdr:rowOff>
    </xdr:from>
    <xdr:to>
      <xdr:col>10</xdr:col>
      <xdr:colOff>766181</xdr:colOff>
      <xdr:row>11</xdr:row>
      <xdr:rowOff>188487</xdr:rowOff>
    </xdr:to>
    <xdr:graphicFrame macro="">
      <xdr:nvGraphicFramePr>
        <xdr:cNvPr id="8" name="グラフ 1">
          <a:extLst>
            <a:ext uri="{FF2B5EF4-FFF2-40B4-BE49-F238E27FC236}">
              <a16:creationId xmlns:a16="http://schemas.microsoft.com/office/drawing/2014/main" id="{80E11E0F-2820-4348-8780-D3038AF05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227734</xdr:colOff>
      <xdr:row>0</xdr:row>
      <xdr:rowOff>207991</xdr:rowOff>
    </xdr:from>
    <xdr:to>
      <xdr:col>21</xdr:col>
      <xdr:colOff>994473</xdr:colOff>
      <xdr:row>11</xdr:row>
      <xdr:rowOff>137425</xdr:rowOff>
    </xdr:to>
    <xdr:graphicFrame macro="">
      <xdr:nvGraphicFramePr>
        <xdr:cNvPr id="23" name="グラフ 2">
          <a:extLst>
            <a:ext uri="{FF2B5EF4-FFF2-40B4-BE49-F238E27FC236}">
              <a16:creationId xmlns:a16="http://schemas.microsoft.com/office/drawing/2014/main" id="{CEF6BDBF-2216-2345-979F-342EA3E81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775293</xdr:colOff>
      <xdr:row>0</xdr:row>
      <xdr:rowOff>104099</xdr:rowOff>
    </xdr:from>
    <xdr:to>
      <xdr:col>31</xdr:col>
      <xdr:colOff>493214</xdr:colOff>
      <xdr:row>11</xdr:row>
      <xdr:rowOff>15972</xdr:rowOff>
    </xdr:to>
    <xdr:graphicFrame macro="">
      <xdr:nvGraphicFramePr>
        <xdr:cNvPr id="12" name="グラフ 3">
          <a:extLst>
            <a:ext uri="{FF2B5EF4-FFF2-40B4-BE49-F238E27FC236}">
              <a16:creationId xmlns:a16="http://schemas.microsoft.com/office/drawing/2014/main" id="{EBF4049C-DE28-A346-8A6C-2D27147FD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444165</xdr:colOff>
      <xdr:row>1</xdr:row>
      <xdr:rowOff>237067</xdr:rowOff>
    </xdr:from>
    <xdr:to>
      <xdr:col>41</xdr:col>
      <xdr:colOff>239615</xdr:colOff>
      <xdr:row>12</xdr:row>
      <xdr:rowOff>152700</xdr:rowOff>
    </xdr:to>
    <xdr:graphicFrame macro="">
      <xdr:nvGraphicFramePr>
        <xdr:cNvPr id="14" name="グラフ 4">
          <a:extLst>
            <a:ext uri="{FF2B5EF4-FFF2-40B4-BE49-F238E27FC236}">
              <a16:creationId xmlns:a16="http://schemas.microsoft.com/office/drawing/2014/main" id="{CF71F735-5618-2943-A16B-2DDE23D6D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626534</xdr:colOff>
      <xdr:row>22</xdr:row>
      <xdr:rowOff>237066</xdr:rowOff>
    </xdr:from>
    <xdr:to>
      <xdr:col>41</xdr:col>
      <xdr:colOff>355600</xdr:colOff>
      <xdr:row>33</xdr:row>
      <xdr:rowOff>220133</xdr:rowOff>
    </xdr:to>
    <xdr:graphicFrame macro="">
      <xdr:nvGraphicFramePr>
        <xdr:cNvPr id="22" name="グラフ 5">
          <a:extLst>
            <a:ext uri="{FF2B5EF4-FFF2-40B4-BE49-F238E27FC236}">
              <a16:creationId xmlns:a16="http://schemas.microsoft.com/office/drawing/2014/main" id="{D08EA43E-B009-1141-AF49-177FEF7582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4182</xdr:colOff>
      <xdr:row>0</xdr:row>
      <xdr:rowOff>239287</xdr:rowOff>
    </xdr:from>
    <xdr:to>
      <xdr:col>10</xdr:col>
      <xdr:colOff>766181</xdr:colOff>
      <xdr:row>11</xdr:row>
      <xdr:rowOff>188487</xdr:rowOff>
    </xdr:to>
    <xdr:graphicFrame macro="">
      <xdr:nvGraphicFramePr>
        <xdr:cNvPr id="14" name="グラフ 1">
          <a:extLst>
            <a:ext uri="{FF2B5EF4-FFF2-40B4-BE49-F238E27FC236}">
              <a16:creationId xmlns:a16="http://schemas.microsoft.com/office/drawing/2014/main" id="{38CEB905-5CCA-4448-B421-1F3AA0633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698164</xdr:colOff>
      <xdr:row>1</xdr:row>
      <xdr:rowOff>30480</xdr:rowOff>
    </xdr:from>
    <xdr:to>
      <xdr:col>20</xdr:col>
      <xdr:colOff>493615</xdr:colOff>
      <xdr:row>11</xdr:row>
      <xdr:rowOff>196726</xdr:rowOff>
    </xdr:to>
    <xdr:graphicFrame macro="">
      <xdr:nvGraphicFramePr>
        <xdr:cNvPr id="12" name="グラフ 4">
          <a:extLst>
            <a:ext uri="{FF2B5EF4-FFF2-40B4-BE49-F238E27FC236}">
              <a16:creationId xmlns:a16="http://schemas.microsoft.com/office/drawing/2014/main" id="{E392AE47-B8BC-4FAA-A432-108AC464D308}"/>
            </a:ext>
            <a:ext uri="{147F2762-F138-4A5C-976F-8EAC2B608ADB}">
              <a16:predDERef xmlns:a16="http://schemas.microsoft.com/office/drawing/2014/main" pred="{C431061A-CBD0-4FF3-8325-DBD8798E7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16</xdr:row>
      <xdr:rowOff>0</xdr:rowOff>
    </xdr:from>
    <xdr:to>
      <xdr:col>20</xdr:col>
      <xdr:colOff>762000</xdr:colOff>
      <xdr:row>26</xdr:row>
      <xdr:rowOff>237067</xdr:rowOff>
    </xdr:to>
    <xdr:graphicFrame macro="">
      <xdr:nvGraphicFramePr>
        <xdr:cNvPr id="13" name="グラフ 5">
          <a:extLst>
            <a:ext uri="{FF2B5EF4-FFF2-40B4-BE49-F238E27FC236}">
              <a16:creationId xmlns:a16="http://schemas.microsoft.com/office/drawing/2014/main" id="{6591ACC6-65BE-4BED-881E-9B7B6913099D}"/>
            </a:ext>
            <a:ext uri="{147F2762-F138-4A5C-976F-8EAC2B608ADB}">
              <a16:predDERef xmlns:a16="http://schemas.microsoft.com/office/drawing/2014/main" pred="{E392AE47-B8BC-4FAA-A432-108AC464D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4182</xdr:colOff>
      <xdr:row>0</xdr:row>
      <xdr:rowOff>239287</xdr:rowOff>
    </xdr:from>
    <xdr:to>
      <xdr:col>10</xdr:col>
      <xdr:colOff>766181</xdr:colOff>
      <xdr:row>11</xdr:row>
      <xdr:rowOff>188487</xdr:rowOff>
    </xdr:to>
    <xdr:graphicFrame macro="">
      <xdr:nvGraphicFramePr>
        <xdr:cNvPr id="23" name="グラフ 1">
          <a:extLst>
            <a:ext uri="{FF2B5EF4-FFF2-40B4-BE49-F238E27FC236}">
              <a16:creationId xmlns:a16="http://schemas.microsoft.com/office/drawing/2014/main" id="{15055BD7-1851-F441-AC15-96943BF3C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1028364</xdr:colOff>
      <xdr:row>1</xdr:row>
      <xdr:rowOff>0</xdr:rowOff>
    </xdr:from>
    <xdr:to>
      <xdr:col>19</xdr:col>
      <xdr:colOff>823815</xdr:colOff>
      <xdr:row>11</xdr:row>
      <xdr:rowOff>161166</xdr:rowOff>
    </xdr:to>
    <xdr:graphicFrame macro="">
      <xdr:nvGraphicFramePr>
        <xdr:cNvPr id="26" name="グラフ 4">
          <a:extLst>
            <a:ext uri="{FF2B5EF4-FFF2-40B4-BE49-F238E27FC236}">
              <a16:creationId xmlns:a16="http://schemas.microsoft.com/office/drawing/2014/main" id="{787D496B-66DB-DF42-BA55-5D845A706952}"/>
            </a:ext>
            <a:ext uri="{147F2762-F138-4A5C-976F-8EAC2B608ADB}">
              <a16:predDERef xmlns:a16="http://schemas.microsoft.com/office/drawing/2014/main" pred="{9595D431-579A-3443-8693-09978E4FA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38100</xdr:colOff>
      <xdr:row>16</xdr:row>
      <xdr:rowOff>12700</xdr:rowOff>
    </xdr:from>
    <xdr:to>
      <xdr:col>19</xdr:col>
      <xdr:colOff>800100</xdr:colOff>
      <xdr:row>26</xdr:row>
      <xdr:rowOff>249767</xdr:rowOff>
    </xdr:to>
    <xdr:graphicFrame macro="">
      <xdr:nvGraphicFramePr>
        <xdr:cNvPr id="27" name="グラフ 5">
          <a:extLst>
            <a:ext uri="{FF2B5EF4-FFF2-40B4-BE49-F238E27FC236}">
              <a16:creationId xmlns:a16="http://schemas.microsoft.com/office/drawing/2014/main" id="{50361AD7-D392-1C40-975A-E3FE4A24785D}"/>
            </a:ext>
            <a:ext uri="{147F2762-F138-4A5C-976F-8EAC2B608ADB}">
              <a16:predDERef xmlns:a16="http://schemas.microsoft.com/office/drawing/2014/main" pred="{787D496B-66DB-DF42-BA55-5D845A706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4182</xdr:colOff>
      <xdr:row>0</xdr:row>
      <xdr:rowOff>239287</xdr:rowOff>
    </xdr:from>
    <xdr:to>
      <xdr:col>10</xdr:col>
      <xdr:colOff>766181</xdr:colOff>
      <xdr:row>11</xdr:row>
      <xdr:rowOff>188487</xdr:rowOff>
    </xdr:to>
    <xdr:graphicFrame macro="">
      <xdr:nvGraphicFramePr>
        <xdr:cNvPr id="8" name="グラフ 1">
          <a:extLst>
            <a:ext uri="{FF2B5EF4-FFF2-40B4-BE49-F238E27FC236}">
              <a16:creationId xmlns:a16="http://schemas.microsoft.com/office/drawing/2014/main" id="{53F6FD38-8AED-E343-B763-C6325E376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22349</xdr:colOff>
      <xdr:row>0</xdr:row>
      <xdr:rowOff>234141</xdr:rowOff>
    </xdr:from>
    <xdr:to>
      <xdr:col>20</xdr:col>
      <xdr:colOff>789089</xdr:colOff>
      <xdr:row>11</xdr:row>
      <xdr:rowOff>161533</xdr:rowOff>
    </xdr:to>
    <xdr:graphicFrame macro="">
      <xdr:nvGraphicFramePr>
        <xdr:cNvPr id="25" name="グラフ 2">
          <a:extLst>
            <a:ext uri="{FF2B5EF4-FFF2-40B4-BE49-F238E27FC236}">
              <a16:creationId xmlns:a16="http://schemas.microsoft.com/office/drawing/2014/main" id="{ECAA56EF-C4A7-AF45-B443-42069D3530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44824</xdr:colOff>
      <xdr:row>0</xdr:row>
      <xdr:rowOff>242047</xdr:rowOff>
    </xdr:from>
    <xdr:to>
      <xdr:col>29</xdr:col>
      <xdr:colOff>791883</xdr:colOff>
      <xdr:row>11</xdr:row>
      <xdr:rowOff>161365</xdr:rowOff>
    </xdr:to>
    <xdr:graphicFrame macro="">
      <xdr:nvGraphicFramePr>
        <xdr:cNvPr id="12" name="グラフ 3">
          <a:extLst>
            <a:ext uri="{FF2B5EF4-FFF2-40B4-BE49-F238E27FC236}">
              <a16:creationId xmlns:a16="http://schemas.microsoft.com/office/drawing/2014/main" id="{BC5D815E-8B09-CB46-839E-DC8498964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647364</xdr:colOff>
      <xdr:row>0</xdr:row>
      <xdr:rowOff>0</xdr:rowOff>
    </xdr:from>
    <xdr:to>
      <xdr:col>39</xdr:col>
      <xdr:colOff>442815</xdr:colOff>
      <xdr:row>10</xdr:row>
      <xdr:rowOff>135766</xdr:rowOff>
    </xdr:to>
    <xdr:graphicFrame macro="">
      <xdr:nvGraphicFramePr>
        <xdr:cNvPr id="14" name="グラフ 4">
          <a:extLst>
            <a:ext uri="{FF2B5EF4-FFF2-40B4-BE49-F238E27FC236}">
              <a16:creationId xmlns:a16="http://schemas.microsoft.com/office/drawing/2014/main" id="{FE4E491A-6D82-8948-8E1A-5316FF5C9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16</xdr:row>
      <xdr:rowOff>0</xdr:rowOff>
    </xdr:from>
    <xdr:to>
      <xdr:col>39</xdr:col>
      <xdr:colOff>762000</xdr:colOff>
      <xdr:row>26</xdr:row>
      <xdr:rowOff>237067</xdr:rowOff>
    </xdr:to>
    <xdr:graphicFrame macro="">
      <xdr:nvGraphicFramePr>
        <xdr:cNvPr id="22" name="グラフ 5">
          <a:extLst>
            <a:ext uri="{FF2B5EF4-FFF2-40B4-BE49-F238E27FC236}">
              <a16:creationId xmlns:a16="http://schemas.microsoft.com/office/drawing/2014/main" id="{518E714C-E763-C748-9E83-E2C2CDB89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4182</xdr:colOff>
      <xdr:row>0</xdr:row>
      <xdr:rowOff>239287</xdr:rowOff>
    </xdr:from>
    <xdr:to>
      <xdr:col>10</xdr:col>
      <xdr:colOff>766181</xdr:colOff>
      <xdr:row>11</xdr:row>
      <xdr:rowOff>188487</xdr:rowOff>
    </xdr:to>
    <xdr:graphicFrame macro="">
      <xdr:nvGraphicFramePr>
        <xdr:cNvPr id="8" name="グラフ 1">
          <a:extLst>
            <a:ext uri="{FF2B5EF4-FFF2-40B4-BE49-F238E27FC236}">
              <a16:creationId xmlns:a16="http://schemas.microsoft.com/office/drawing/2014/main" id="{79CBD1C2-8366-8141-A10A-F4BED2894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22349</xdr:colOff>
      <xdr:row>0</xdr:row>
      <xdr:rowOff>234141</xdr:rowOff>
    </xdr:from>
    <xdr:to>
      <xdr:col>20</xdr:col>
      <xdr:colOff>789089</xdr:colOff>
      <xdr:row>11</xdr:row>
      <xdr:rowOff>161533</xdr:rowOff>
    </xdr:to>
    <xdr:graphicFrame macro="">
      <xdr:nvGraphicFramePr>
        <xdr:cNvPr id="10" name="グラフ 2">
          <a:extLst>
            <a:ext uri="{FF2B5EF4-FFF2-40B4-BE49-F238E27FC236}">
              <a16:creationId xmlns:a16="http://schemas.microsoft.com/office/drawing/2014/main" id="{02BC7D11-D2D8-3045-BAF5-8D86B90D5A95}"/>
            </a:ext>
            <a:ext uri="{147F2762-F138-4A5C-976F-8EAC2B608ADB}">
              <a16:predDERef xmlns:a16="http://schemas.microsoft.com/office/drawing/2014/main" pred="{A116322D-116A-4DD9-BD43-28AB0DDEC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44824</xdr:colOff>
      <xdr:row>0</xdr:row>
      <xdr:rowOff>242047</xdr:rowOff>
    </xdr:from>
    <xdr:to>
      <xdr:col>29</xdr:col>
      <xdr:colOff>791883</xdr:colOff>
      <xdr:row>11</xdr:row>
      <xdr:rowOff>161365</xdr:rowOff>
    </xdr:to>
    <xdr:graphicFrame macro="">
      <xdr:nvGraphicFramePr>
        <xdr:cNvPr id="12" name="グラフ 3">
          <a:extLst>
            <a:ext uri="{FF2B5EF4-FFF2-40B4-BE49-F238E27FC236}">
              <a16:creationId xmlns:a16="http://schemas.microsoft.com/office/drawing/2014/main" id="{1A60C386-222A-7E48-B63D-25DE67202A83}"/>
            </a:ext>
            <a:ext uri="{147F2762-F138-4A5C-976F-8EAC2B608ADB}">
              <a16:predDERef xmlns:a16="http://schemas.microsoft.com/office/drawing/2014/main" pred="{528996BC-42A9-4750-98F0-653AB96BF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647364</xdr:colOff>
      <xdr:row>0</xdr:row>
      <xdr:rowOff>0</xdr:rowOff>
    </xdr:from>
    <xdr:to>
      <xdr:col>39</xdr:col>
      <xdr:colOff>442815</xdr:colOff>
      <xdr:row>10</xdr:row>
      <xdr:rowOff>135766</xdr:rowOff>
    </xdr:to>
    <xdr:graphicFrame macro="">
      <xdr:nvGraphicFramePr>
        <xdr:cNvPr id="14" name="グラフ 4">
          <a:extLst>
            <a:ext uri="{FF2B5EF4-FFF2-40B4-BE49-F238E27FC236}">
              <a16:creationId xmlns:a16="http://schemas.microsoft.com/office/drawing/2014/main" id="{31F90C01-CE80-1F4C-A182-5D3F30E160CE}"/>
            </a:ext>
            <a:ext uri="{147F2762-F138-4A5C-976F-8EAC2B608ADB}">
              <a16:predDERef xmlns:a16="http://schemas.microsoft.com/office/drawing/2014/main" pred="{BCF190EF-1004-4EF6-8C00-43E01A3F2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16</xdr:row>
      <xdr:rowOff>0</xdr:rowOff>
    </xdr:from>
    <xdr:to>
      <xdr:col>39</xdr:col>
      <xdr:colOff>762000</xdr:colOff>
      <xdr:row>26</xdr:row>
      <xdr:rowOff>237067</xdr:rowOff>
    </xdr:to>
    <xdr:graphicFrame macro="">
      <xdr:nvGraphicFramePr>
        <xdr:cNvPr id="22" name="グラフ 5">
          <a:extLst>
            <a:ext uri="{FF2B5EF4-FFF2-40B4-BE49-F238E27FC236}">
              <a16:creationId xmlns:a16="http://schemas.microsoft.com/office/drawing/2014/main" id="{4DF16D22-E86F-A34E-840D-BA9DB9CC7424}"/>
            </a:ext>
            <a:ext uri="{147F2762-F138-4A5C-976F-8EAC2B608ADB}">
              <a16:predDERef xmlns:a16="http://schemas.microsoft.com/office/drawing/2014/main" pred="{9D879E4D-6636-44C5-95B7-537E1EDE78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245482</xdr:colOff>
      <xdr:row>0</xdr:row>
      <xdr:rowOff>264687</xdr:rowOff>
    </xdr:from>
    <xdr:to>
      <xdr:col>10</xdr:col>
      <xdr:colOff>1007481</xdr:colOff>
      <xdr:row>11</xdr:row>
      <xdr:rowOff>213887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98C3947-48B4-614A-82F6-F45AF78EA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165046</xdr:colOff>
      <xdr:row>0</xdr:row>
      <xdr:rowOff>62905</xdr:rowOff>
    </xdr:from>
    <xdr:to>
      <xdr:col>19</xdr:col>
      <xdr:colOff>931785</xdr:colOff>
      <xdr:row>10</xdr:row>
      <xdr:rowOff>247151</xdr:rowOff>
    </xdr:to>
    <xdr:graphicFrame macro="">
      <xdr:nvGraphicFramePr>
        <xdr:cNvPr id="10" name="グラフ 2">
          <a:extLst>
            <a:ext uri="{FF2B5EF4-FFF2-40B4-BE49-F238E27FC236}">
              <a16:creationId xmlns:a16="http://schemas.microsoft.com/office/drawing/2014/main" id="{409EE8B3-B74B-B649-B082-2D9D1D54D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44824</xdr:colOff>
      <xdr:row>0</xdr:row>
      <xdr:rowOff>242047</xdr:rowOff>
    </xdr:from>
    <xdr:to>
      <xdr:col>29</xdr:col>
      <xdr:colOff>791883</xdr:colOff>
      <xdr:row>11</xdr:row>
      <xdr:rowOff>161365</xdr:rowOff>
    </xdr:to>
    <xdr:graphicFrame macro="">
      <xdr:nvGraphicFramePr>
        <xdr:cNvPr id="12" name="グラフ 3">
          <a:extLst>
            <a:ext uri="{FF2B5EF4-FFF2-40B4-BE49-F238E27FC236}">
              <a16:creationId xmlns:a16="http://schemas.microsoft.com/office/drawing/2014/main" id="{436ECF95-71A7-E649-A6B0-EBAB0ABAF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647364</xdr:colOff>
      <xdr:row>0</xdr:row>
      <xdr:rowOff>0</xdr:rowOff>
    </xdr:from>
    <xdr:to>
      <xdr:col>39</xdr:col>
      <xdr:colOff>442815</xdr:colOff>
      <xdr:row>10</xdr:row>
      <xdr:rowOff>135766</xdr:rowOff>
    </xdr:to>
    <xdr:graphicFrame macro="">
      <xdr:nvGraphicFramePr>
        <xdr:cNvPr id="14" name="グラフ 4">
          <a:extLst>
            <a:ext uri="{FF2B5EF4-FFF2-40B4-BE49-F238E27FC236}">
              <a16:creationId xmlns:a16="http://schemas.microsoft.com/office/drawing/2014/main" id="{8A534A56-66B1-EC45-96B8-6719A0BD5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16</xdr:row>
      <xdr:rowOff>0</xdr:rowOff>
    </xdr:from>
    <xdr:to>
      <xdr:col>39</xdr:col>
      <xdr:colOff>762000</xdr:colOff>
      <xdr:row>26</xdr:row>
      <xdr:rowOff>237067</xdr:rowOff>
    </xdr:to>
    <xdr:graphicFrame macro="">
      <xdr:nvGraphicFramePr>
        <xdr:cNvPr id="13" name="グラフ 5">
          <a:extLst>
            <a:ext uri="{FF2B5EF4-FFF2-40B4-BE49-F238E27FC236}">
              <a16:creationId xmlns:a16="http://schemas.microsoft.com/office/drawing/2014/main" id="{4214C0B4-1018-5945-BEF4-ACE8E0514F3F}"/>
            </a:ext>
            <a:ext uri="{147F2762-F138-4A5C-976F-8EAC2B608ADB}">
              <a16:predDERef xmlns:a16="http://schemas.microsoft.com/office/drawing/2014/main" pred="{8A534A56-66B1-EC45-96B8-6719A0BD5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28</xdr:row>
      <xdr:rowOff>0</xdr:rowOff>
    </xdr:from>
    <xdr:to>
      <xdr:col>10</xdr:col>
      <xdr:colOff>761999</xdr:colOff>
      <xdr:row>38</xdr:row>
      <xdr:rowOff>215900</xdr:rowOff>
    </xdr:to>
    <xdr:graphicFrame macro="">
      <xdr:nvGraphicFramePr>
        <xdr:cNvPr id="23" name="グラフ 1">
          <a:extLst>
            <a:ext uri="{FF2B5EF4-FFF2-40B4-BE49-F238E27FC236}">
              <a16:creationId xmlns:a16="http://schemas.microsoft.com/office/drawing/2014/main" id="{70BE2374-46F3-43FD-80CB-9409BA333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91440</xdr:colOff>
      <xdr:row>38</xdr:row>
      <xdr:rowOff>190500</xdr:rowOff>
    </xdr:from>
    <xdr:to>
      <xdr:col>10</xdr:col>
      <xdr:colOff>853439</xdr:colOff>
      <xdr:row>49</xdr:row>
      <xdr:rowOff>154940</xdr:rowOff>
    </xdr:to>
    <xdr:graphicFrame macro="">
      <xdr:nvGraphicFramePr>
        <xdr:cNvPr id="24" name="グラフ 1">
          <a:extLst>
            <a:ext uri="{FF2B5EF4-FFF2-40B4-BE49-F238E27FC236}">
              <a16:creationId xmlns:a16="http://schemas.microsoft.com/office/drawing/2014/main" id="{2FF51CE7-4144-4187-8274-804714FB2B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4182</xdr:colOff>
      <xdr:row>0</xdr:row>
      <xdr:rowOff>239287</xdr:rowOff>
    </xdr:from>
    <xdr:to>
      <xdr:col>10</xdr:col>
      <xdr:colOff>766181</xdr:colOff>
      <xdr:row>11</xdr:row>
      <xdr:rowOff>188487</xdr:rowOff>
    </xdr:to>
    <xdr:graphicFrame macro="">
      <xdr:nvGraphicFramePr>
        <xdr:cNvPr id="8" name="グラフ 1">
          <a:extLst>
            <a:ext uri="{FF2B5EF4-FFF2-40B4-BE49-F238E27FC236}">
              <a16:creationId xmlns:a16="http://schemas.microsoft.com/office/drawing/2014/main" id="{1067621C-C24F-624F-BF48-AE6B9F4AA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165046</xdr:colOff>
      <xdr:row>0</xdr:row>
      <xdr:rowOff>62905</xdr:rowOff>
    </xdr:from>
    <xdr:to>
      <xdr:col>19</xdr:col>
      <xdr:colOff>931785</xdr:colOff>
      <xdr:row>10</xdr:row>
      <xdr:rowOff>247151</xdr:rowOff>
    </xdr:to>
    <xdr:graphicFrame macro="">
      <xdr:nvGraphicFramePr>
        <xdr:cNvPr id="10" name="グラフ 2">
          <a:extLst>
            <a:ext uri="{FF2B5EF4-FFF2-40B4-BE49-F238E27FC236}">
              <a16:creationId xmlns:a16="http://schemas.microsoft.com/office/drawing/2014/main" id="{562305DD-A207-9A46-A4BE-685480682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44824</xdr:colOff>
      <xdr:row>0</xdr:row>
      <xdr:rowOff>242047</xdr:rowOff>
    </xdr:from>
    <xdr:to>
      <xdr:col>29</xdr:col>
      <xdr:colOff>791883</xdr:colOff>
      <xdr:row>11</xdr:row>
      <xdr:rowOff>161365</xdr:rowOff>
    </xdr:to>
    <xdr:graphicFrame macro="">
      <xdr:nvGraphicFramePr>
        <xdr:cNvPr id="12" name="グラフ 3">
          <a:extLst>
            <a:ext uri="{FF2B5EF4-FFF2-40B4-BE49-F238E27FC236}">
              <a16:creationId xmlns:a16="http://schemas.microsoft.com/office/drawing/2014/main" id="{8B97EA10-8C72-B845-A48A-CA6D51418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655385</xdr:colOff>
      <xdr:row>0</xdr:row>
      <xdr:rowOff>0</xdr:rowOff>
    </xdr:from>
    <xdr:to>
      <xdr:col>39</xdr:col>
      <xdr:colOff>450836</xdr:colOff>
      <xdr:row>10</xdr:row>
      <xdr:rowOff>135766</xdr:rowOff>
    </xdr:to>
    <xdr:graphicFrame macro="">
      <xdr:nvGraphicFramePr>
        <xdr:cNvPr id="14" name="グラフ 4">
          <a:extLst>
            <a:ext uri="{FF2B5EF4-FFF2-40B4-BE49-F238E27FC236}">
              <a16:creationId xmlns:a16="http://schemas.microsoft.com/office/drawing/2014/main" id="{7CC0C1FE-6E1A-344F-818E-D1C269FC7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16</xdr:row>
      <xdr:rowOff>0</xdr:rowOff>
    </xdr:from>
    <xdr:to>
      <xdr:col>39</xdr:col>
      <xdr:colOff>762000</xdr:colOff>
      <xdr:row>26</xdr:row>
      <xdr:rowOff>237067</xdr:rowOff>
    </xdr:to>
    <xdr:graphicFrame macro="">
      <xdr:nvGraphicFramePr>
        <xdr:cNvPr id="22" name="グラフ 5">
          <a:extLst>
            <a:ext uri="{FF2B5EF4-FFF2-40B4-BE49-F238E27FC236}">
              <a16:creationId xmlns:a16="http://schemas.microsoft.com/office/drawing/2014/main" id="{833FC9C7-4C37-944D-91CD-F6323DFE81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0</xdr:colOff>
      <xdr:row>30</xdr:row>
      <xdr:rowOff>0</xdr:rowOff>
    </xdr:from>
    <xdr:to>
      <xdr:col>39</xdr:col>
      <xdr:colOff>762000</xdr:colOff>
      <xdr:row>40</xdr:row>
      <xdr:rowOff>237068</xdr:rowOff>
    </xdr:to>
    <xdr:graphicFrame macro="">
      <xdr:nvGraphicFramePr>
        <xdr:cNvPr id="16" name="グラフ 5">
          <a:extLst>
            <a:ext uri="{FF2B5EF4-FFF2-40B4-BE49-F238E27FC236}">
              <a16:creationId xmlns:a16="http://schemas.microsoft.com/office/drawing/2014/main" id="{BB2FCCCE-965F-4264-B5C8-24F537121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4182</xdr:colOff>
      <xdr:row>0</xdr:row>
      <xdr:rowOff>239287</xdr:rowOff>
    </xdr:from>
    <xdr:to>
      <xdr:col>10</xdr:col>
      <xdr:colOff>766181</xdr:colOff>
      <xdr:row>11</xdr:row>
      <xdr:rowOff>188487</xdr:rowOff>
    </xdr:to>
    <xdr:graphicFrame macro="">
      <xdr:nvGraphicFramePr>
        <xdr:cNvPr id="8" name="グラフ 1">
          <a:extLst>
            <a:ext uri="{FF2B5EF4-FFF2-40B4-BE49-F238E27FC236}">
              <a16:creationId xmlns:a16="http://schemas.microsoft.com/office/drawing/2014/main" id="{ED52059C-7DCB-A74D-9BA3-DFCB2C34A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165046</xdr:colOff>
      <xdr:row>0</xdr:row>
      <xdr:rowOff>62905</xdr:rowOff>
    </xdr:from>
    <xdr:to>
      <xdr:col>19</xdr:col>
      <xdr:colOff>931785</xdr:colOff>
      <xdr:row>10</xdr:row>
      <xdr:rowOff>247151</xdr:rowOff>
    </xdr:to>
    <xdr:graphicFrame macro="">
      <xdr:nvGraphicFramePr>
        <xdr:cNvPr id="10" name="グラフ 2">
          <a:extLst>
            <a:ext uri="{FF2B5EF4-FFF2-40B4-BE49-F238E27FC236}">
              <a16:creationId xmlns:a16="http://schemas.microsoft.com/office/drawing/2014/main" id="{C24717A9-E2A5-E140-8582-10A573164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44824</xdr:colOff>
      <xdr:row>0</xdr:row>
      <xdr:rowOff>242047</xdr:rowOff>
    </xdr:from>
    <xdr:to>
      <xdr:col>29</xdr:col>
      <xdr:colOff>791883</xdr:colOff>
      <xdr:row>11</xdr:row>
      <xdr:rowOff>161365</xdr:rowOff>
    </xdr:to>
    <xdr:graphicFrame macro="">
      <xdr:nvGraphicFramePr>
        <xdr:cNvPr id="12" name="グラフ 3">
          <a:extLst>
            <a:ext uri="{FF2B5EF4-FFF2-40B4-BE49-F238E27FC236}">
              <a16:creationId xmlns:a16="http://schemas.microsoft.com/office/drawing/2014/main" id="{CA18DDF9-64CD-744D-8EA5-F2E1C55DA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647364</xdr:colOff>
      <xdr:row>0</xdr:row>
      <xdr:rowOff>0</xdr:rowOff>
    </xdr:from>
    <xdr:to>
      <xdr:col>39</xdr:col>
      <xdr:colOff>442815</xdr:colOff>
      <xdr:row>10</xdr:row>
      <xdr:rowOff>135766</xdr:rowOff>
    </xdr:to>
    <xdr:graphicFrame macro="">
      <xdr:nvGraphicFramePr>
        <xdr:cNvPr id="14" name="グラフ 4">
          <a:extLst>
            <a:ext uri="{FF2B5EF4-FFF2-40B4-BE49-F238E27FC236}">
              <a16:creationId xmlns:a16="http://schemas.microsoft.com/office/drawing/2014/main" id="{303FCD04-961F-6349-9A05-9AC5B6834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16</xdr:row>
      <xdr:rowOff>0</xdr:rowOff>
    </xdr:from>
    <xdr:to>
      <xdr:col>39</xdr:col>
      <xdr:colOff>762000</xdr:colOff>
      <xdr:row>26</xdr:row>
      <xdr:rowOff>237067</xdr:rowOff>
    </xdr:to>
    <xdr:graphicFrame macro="">
      <xdr:nvGraphicFramePr>
        <xdr:cNvPr id="22" name="グラフ 5">
          <a:extLst>
            <a:ext uri="{FF2B5EF4-FFF2-40B4-BE49-F238E27FC236}">
              <a16:creationId xmlns:a16="http://schemas.microsoft.com/office/drawing/2014/main" id="{9F6F44E9-7797-8746-AAE1-280BE8BB4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4182</xdr:colOff>
      <xdr:row>0</xdr:row>
      <xdr:rowOff>239287</xdr:rowOff>
    </xdr:from>
    <xdr:to>
      <xdr:col>10</xdr:col>
      <xdr:colOff>766181</xdr:colOff>
      <xdr:row>11</xdr:row>
      <xdr:rowOff>188487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65FE7BA-2219-4A86-BF1E-876EC4080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165046</xdr:colOff>
      <xdr:row>0</xdr:row>
      <xdr:rowOff>62905</xdr:rowOff>
    </xdr:from>
    <xdr:to>
      <xdr:col>19</xdr:col>
      <xdr:colOff>931785</xdr:colOff>
      <xdr:row>10</xdr:row>
      <xdr:rowOff>247151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AB987D2-7ABD-4D47-AD60-06597B90A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44824</xdr:colOff>
      <xdr:row>0</xdr:row>
      <xdr:rowOff>242047</xdr:rowOff>
    </xdr:from>
    <xdr:to>
      <xdr:col>29</xdr:col>
      <xdr:colOff>791883</xdr:colOff>
      <xdr:row>11</xdr:row>
      <xdr:rowOff>161365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9B998E13-9269-4D79-B277-19577A2A8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647364</xdr:colOff>
      <xdr:row>0</xdr:row>
      <xdr:rowOff>0</xdr:rowOff>
    </xdr:from>
    <xdr:to>
      <xdr:col>39</xdr:col>
      <xdr:colOff>442815</xdr:colOff>
      <xdr:row>10</xdr:row>
      <xdr:rowOff>135766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DDD1FA6F-C5A5-4D2B-8812-6E3076E2C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16</xdr:row>
      <xdr:rowOff>0</xdr:rowOff>
    </xdr:from>
    <xdr:to>
      <xdr:col>39</xdr:col>
      <xdr:colOff>762000</xdr:colOff>
      <xdr:row>26</xdr:row>
      <xdr:rowOff>237067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6BC5913D-52A5-42A3-A3DC-A41D1A300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4182</xdr:colOff>
      <xdr:row>0</xdr:row>
      <xdr:rowOff>239287</xdr:rowOff>
    </xdr:from>
    <xdr:to>
      <xdr:col>10</xdr:col>
      <xdr:colOff>766181</xdr:colOff>
      <xdr:row>11</xdr:row>
      <xdr:rowOff>188487</xdr:rowOff>
    </xdr:to>
    <xdr:graphicFrame macro="">
      <xdr:nvGraphicFramePr>
        <xdr:cNvPr id="8" name="グラフ 1">
          <a:extLst>
            <a:ext uri="{FF2B5EF4-FFF2-40B4-BE49-F238E27FC236}">
              <a16:creationId xmlns:a16="http://schemas.microsoft.com/office/drawing/2014/main" id="{0AAE3E1C-DCA0-4683-8105-862FA40F8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22349</xdr:colOff>
      <xdr:row>0</xdr:row>
      <xdr:rowOff>234141</xdr:rowOff>
    </xdr:from>
    <xdr:to>
      <xdr:col>20</xdr:col>
      <xdr:colOff>789089</xdr:colOff>
      <xdr:row>11</xdr:row>
      <xdr:rowOff>161533</xdr:rowOff>
    </xdr:to>
    <xdr:graphicFrame macro="">
      <xdr:nvGraphicFramePr>
        <xdr:cNvPr id="10" name="グラフ 2">
          <a:extLst>
            <a:ext uri="{FF2B5EF4-FFF2-40B4-BE49-F238E27FC236}">
              <a16:creationId xmlns:a16="http://schemas.microsoft.com/office/drawing/2014/main" id="{C0D9F2D1-BC9F-441F-85E5-F895E577A4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44824</xdr:colOff>
      <xdr:row>0</xdr:row>
      <xdr:rowOff>242047</xdr:rowOff>
    </xdr:from>
    <xdr:to>
      <xdr:col>29</xdr:col>
      <xdr:colOff>791883</xdr:colOff>
      <xdr:row>11</xdr:row>
      <xdr:rowOff>161365</xdr:rowOff>
    </xdr:to>
    <xdr:graphicFrame macro="">
      <xdr:nvGraphicFramePr>
        <xdr:cNvPr id="12" name="グラフ 3">
          <a:extLst>
            <a:ext uri="{FF2B5EF4-FFF2-40B4-BE49-F238E27FC236}">
              <a16:creationId xmlns:a16="http://schemas.microsoft.com/office/drawing/2014/main" id="{4F24351C-8777-4A62-ADC2-A9446FC5E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647364</xdr:colOff>
      <xdr:row>0</xdr:row>
      <xdr:rowOff>0</xdr:rowOff>
    </xdr:from>
    <xdr:to>
      <xdr:col>39</xdr:col>
      <xdr:colOff>442815</xdr:colOff>
      <xdr:row>10</xdr:row>
      <xdr:rowOff>135766</xdr:rowOff>
    </xdr:to>
    <xdr:graphicFrame macro="">
      <xdr:nvGraphicFramePr>
        <xdr:cNvPr id="14" name="グラフ 4">
          <a:extLst>
            <a:ext uri="{FF2B5EF4-FFF2-40B4-BE49-F238E27FC236}">
              <a16:creationId xmlns:a16="http://schemas.microsoft.com/office/drawing/2014/main" id="{FA5F0A6D-793C-4B9A-B2A9-2ACEDBE5E9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723900</xdr:colOff>
      <xdr:row>16</xdr:row>
      <xdr:rowOff>0</xdr:rowOff>
    </xdr:from>
    <xdr:to>
      <xdr:col>39</xdr:col>
      <xdr:colOff>457200</xdr:colOff>
      <xdr:row>26</xdr:row>
      <xdr:rowOff>237067</xdr:rowOff>
    </xdr:to>
    <xdr:graphicFrame macro="">
      <xdr:nvGraphicFramePr>
        <xdr:cNvPr id="2" name="グラフ 5">
          <a:extLst>
            <a:ext uri="{FF2B5EF4-FFF2-40B4-BE49-F238E27FC236}">
              <a16:creationId xmlns:a16="http://schemas.microsoft.com/office/drawing/2014/main" id="{B88AD84A-A49F-47D4-9E51-F7EB47CE9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4182</xdr:colOff>
      <xdr:row>0</xdr:row>
      <xdr:rowOff>239287</xdr:rowOff>
    </xdr:from>
    <xdr:to>
      <xdr:col>10</xdr:col>
      <xdr:colOff>766181</xdr:colOff>
      <xdr:row>11</xdr:row>
      <xdr:rowOff>188487</xdr:rowOff>
    </xdr:to>
    <xdr:graphicFrame macro="">
      <xdr:nvGraphicFramePr>
        <xdr:cNvPr id="7" name="グラフ 1">
          <a:extLst>
            <a:ext uri="{FF2B5EF4-FFF2-40B4-BE49-F238E27FC236}">
              <a16:creationId xmlns:a16="http://schemas.microsoft.com/office/drawing/2014/main" id="{A116322D-116A-4DD9-BD43-28AB0DDEC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22349</xdr:colOff>
      <xdr:row>0</xdr:row>
      <xdr:rowOff>234141</xdr:rowOff>
    </xdr:from>
    <xdr:to>
      <xdr:col>20</xdr:col>
      <xdr:colOff>789089</xdr:colOff>
      <xdr:row>11</xdr:row>
      <xdr:rowOff>161533</xdr:rowOff>
    </xdr:to>
    <xdr:graphicFrame macro="">
      <xdr:nvGraphicFramePr>
        <xdr:cNvPr id="8" name="グラフ 2">
          <a:extLst>
            <a:ext uri="{FF2B5EF4-FFF2-40B4-BE49-F238E27FC236}">
              <a16:creationId xmlns:a16="http://schemas.microsoft.com/office/drawing/2014/main" id="{528996BC-42A9-4750-98F0-653AB96BF760}"/>
            </a:ext>
            <a:ext uri="{147F2762-F138-4A5C-976F-8EAC2B608ADB}">
              <a16:predDERef xmlns:a16="http://schemas.microsoft.com/office/drawing/2014/main" pred="{A116322D-116A-4DD9-BD43-28AB0DDEC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44824</xdr:colOff>
      <xdr:row>0</xdr:row>
      <xdr:rowOff>242047</xdr:rowOff>
    </xdr:from>
    <xdr:to>
      <xdr:col>29</xdr:col>
      <xdr:colOff>791883</xdr:colOff>
      <xdr:row>11</xdr:row>
      <xdr:rowOff>161365</xdr:rowOff>
    </xdr:to>
    <xdr:graphicFrame macro="">
      <xdr:nvGraphicFramePr>
        <xdr:cNvPr id="9" name="グラフ 3">
          <a:extLst>
            <a:ext uri="{FF2B5EF4-FFF2-40B4-BE49-F238E27FC236}">
              <a16:creationId xmlns:a16="http://schemas.microsoft.com/office/drawing/2014/main" id="{BCF190EF-1004-4EF6-8C00-43E01A3F2753}"/>
            </a:ext>
            <a:ext uri="{147F2762-F138-4A5C-976F-8EAC2B608ADB}">
              <a16:predDERef xmlns:a16="http://schemas.microsoft.com/office/drawing/2014/main" pred="{528996BC-42A9-4750-98F0-653AB96BF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647364</xdr:colOff>
      <xdr:row>0</xdr:row>
      <xdr:rowOff>0</xdr:rowOff>
    </xdr:from>
    <xdr:to>
      <xdr:col>39</xdr:col>
      <xdr:colOff>442815</xdr:colOff>
      <xdr:row>10</xdr:row>
      <xdr:rowOff>135766</xdr:rowOff>
    </xdr:to>
    <xdr:graphicFrame macro="">
      <xdr:nvGraphicFramePr>
        <xdr:cNvPr id="10" name="グラフ 4">
          <a:extLst>
            <a:ext uri="{FF2B5EF4-FFF2-40B4-BE49-F238E27FC236}">
              <a16:creationId xmlns:a16="http://schemas.microsoft.com/office/drawing/2014/main" id="{9D879E4D-6636-44C5-95B7-537E1EDE7876}"/>
            </a:ext>
            <a:ext uri="{147F2762-F138-4A5C-976F-8EAC2B608ADB}">
              <a16:predDERef xmlns:a16="http://schemas.microsoft.com/office/drawing/2014/main" pred="{BCF190EF-1004-4EF6-8C00-43E01A3F2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16</xdr:row>
      <xdr:rowOff>0</xdr:rowOff>
    </xdr:from>
    <xdr:to>
      <xdr:col>39</xdr:col>
      <xdr:colOff>762000</xdr:colOff>
      <xdr:row>26</xdr:row>
      <xdr:rowOff>237067</xdr:rowOff>
    </xdr:to>
    <xdr:graphicFrame macro="">
      <xdr:nvGraphicFramePr>
        <xdr:cNvPr id="2" name="グラフ 5">
          <a:extLst>
            <a:ext uri="{FF2B5EF4-FFF2-40B4-BE49-F238E27FC236}">
              <a16:creationId xmlns:a16="http://schemas.microsoft.com/office/drawing/2014/main" id="{7E9421D9-56AC-4405-A0F8-16C2611117D1}"/>
            </a:ext>
            <a:ext uri="{147F2762-F138-4A5C-976F-8EAC2B608ADB}">
              <a16:predDERef xmlns:a16="http://schemas.microsoft.com/office/drawing/2014/main" pred="{9D879E4D-6636-44C5-95B7-537E1EDE78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4182</xdr:colOff>
      <xdr:row>0</xdr:row>
      <xdr:rowOff>239287</xdr:rowOff>
    </xdr:from>
    <xdr:to>
      <xdr:col>10</xdr:col>
      <xdr:colOff>766181</xdr:colOff>
      <xdr:row>11</xdr:row>
      <xdr:rowOff>188487</xdr:rowOff>
    </xdr:to>
    <xdr:graphicFrame macro="">
      <xdr:nvGraphicFramePr>
        <xdr:cNvPr id="207" name="グラフ 1">
          <a:extLst>
            <a:ext uri="{FF2B5EF4-FFF2-40B4-BE49-F238E27FC236}">
              <a16:creationId xmlns:a16="http://schemas.microsoft.com/office/drawing/2014/main" id="{AA5471EC-62B2-CD2F-B820-B2AB6E812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165046</xdr:colOff>
      <xdr:row>0</xdr:row>
      <xdr:rowOff>62905</xdr:rowOff>
    </xdr:from>
    <xdr:to>
      <xdr:col>19</xdr:col>
      <xdr:colOff>931785</xdr:colOff>
      <xdr:row>10</xdr:row>
      <xdr:rowOff>247151</xdr:rowOff>
    </xdr:to>
    <xdr:graphicFrame macro="">
      <xdr:nvGraphicFramePr>
        <xdr:cNvPr id="209" name="グラフ 3">
          <a:extLst>
            <a:ext uri="{FF2B5EF4-FFF2-40B4-BE49-F238E27FC236}">
              <a16:creationId xmlns:a16="http://schemas.microsoft.com/office/drawing/2014/main" id="{0657E068-9088-610F-F030-7E97CF8A9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44824</xdr:colOff>
      <xdr:row>0</xdr:row>
      <xdr:rowOff>242047</xdr:rowOff>
    </xdr:from>
    <xdr:to>
      <xdr:col>29</xdr:col>
      <xdr:colOff>791883</xdr:colOff>
      <xdr:row>11</xdr:row>
      <xdr:rowOff>161365</xdr:rowOff>
    </xdr:to>
    <xdr:graphicFrame macro="">
      <xdr:nvGraphicFramePr>
        <xdr:cNvPr id="208" name="グラフ 4">
          <a:extLst>
            <a:ext uri="{FF2B5EF4-FFF2-40B4-BE49-F238E27FC236}">
              <a16:creationId xmlns:a16="http://schemas.microsoft.com/office/drawing/2014/main" id="{FAE75466-1EB7-172C-43FD-A9FAD1D19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647364</xdr:colOff>
      <xdr:row>0</xdr:row>
      <xdr:rowOff>0</xdr:rowOff>
    </xdr:from>
    <xdr:to>
      <xdr:col>39</xdr:col>
      <xdr:colOff>442815</xdr:colOff>
      <xdr:row>10</xdr:row>
      <xdr:rowOff>135766</xdr:rowOff>
    </xdr:to>
    <xdr:graphicFrame macro="">
      <xdr:nvGraphicFramePr>
        <xdr:cNvPr id="206" name="グラフ 5">
          <a:extLst>
            <a:ext uri="{FF2B5EF4-FFF2-40B4-BE49-F238E27FC236}">
              <a16:creationId xmlns:a16="http://schemas.microsoft.com/office/drawing/2014/main" id="{6360304F-F622-4A41-1EDD-273AA0115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16</xdr:row>
      <xdr:rowOff>0</xdr:rowOff>
    </xdr:from>
    <xdr:to>
      <xdr:col>39</xdr:col>
      <xdr:colOff>762000</xdr:colOff>
      <xdr:row>26</xdr:row>
      <xdr:rowOff>237067</xdr:rowOff>
    </xdr:to>
    <xdr:graphicFrame macro="">
      <xdr:nvGraphicFramePr>
        <xdr:cNvPr id="205" name="グラフ 7">
          <a:extLst>
            <a:ext uri="{FF2B5EF4-FFF2-40B4-BE49-F238E27FC236}">
              <a16:creationId xmlns:a16="http://schemas.microsoft.com/office/drawing/2014/main" id="{201A10C6-1A48-3743-B917-C555805CC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7EA5-C289-B649-9E70-91E527B3D544}">
  <dimension ref="A1:AJ50"/>
  <sheetViews>
    <sheetView zoomScale="130" zoomScaleNormal="100" workbookViewId="0">
      <selection activeCell="E3" sqref="E3"/>
    </sheetView>
  </sheetViews>
  <sheetFormatPr baseColWidth="10" defaultColWidth="11.5703125" defaultRowHeight="18"/>
  <cols>
    <col min="1" max="3" width="11.5703125" style="6"/>
    <col min="4" max="4" width="24" style="6" customWidth="1"/>
    <col min="5" max="16384" width="11.5703125" style="6"/>
  </cols>
  <sheetData>
    <row r="1" spans="1:36" ht="23" thickBot="1">
      <c r="A1" s="6" t="s">
        <v>0</v>
      </c>
      <c r="B1" s="9" t="s">
        <v>1</v>
      </c>
      <c r="C1" s="10" t="s">
        <v>2</v>
      </c>
      <c r="D1" s="10" t="s">
        <v>3</v>
      </c>
      <c r="E1" s="9" t="s">
        <v>4</v>
      </c>
      <c r="M1" s="6" t="s">
        <v>5</v>
      </c>
      <c r="N1" s="9" t="s">
        <v>1</v>
      </c>
      <c r="O1" s="9" t="s">
        <v>2</v>
      </c>
      <c r="V1" s="6" t="s">
        <v>6</v>
      </c>
      <c r="W1" s="9" t="s">
        <v>7</v>
      </c>
      <c r="X1" s="9" t="s">
        <v>8</v>
      </c>
      <c r="AF1" s="6" t="s">
        <v>9</v>
      </c>
      <c r="AG1" s="7" t="s">
        <v>7</v>
      </c>
      <c r="AH1" s="7" t="s">
        <v>8</v>
      </c>
    </row>
    <row r="2" spans="1:36">
      <c r="A2" s="6" t="s">
        <v>10</v>
      </c>
      <c r="B2" s="8">
        <v>-5</v>
      </c>
      <c r="C2" s="11">
        <v>9.9659999999999993</v>
      </c>
      <c r="D2" s="13">
        <f t="shared" ref="D2:D33" si="0">(20*(10^3)*B2+(10^4)*C2)/(20*(10^3)+(10^4))</f>
        <v>-1.1333333333333334E-2</v>
      </c>
      <c r="E2" s="8">
        <v>0</v>
      </c>
      <c r="N2" s="8">
        <v>-5</v>
      </c>
      <c r="O2" s="8">
        <v>9.968</v>
      </c>
      <c r="W2" s="8">
        <v>-5</v>
      </c>
      <c r="X2" s="8">
        <v>9.9670000000000005</v>
      </c>
      <c r="AG2" s="7">
        <v>-5</v>
      </c>
      <c r="AH2" s="7">
        <v>9.968</v>
      </c>
    </row>
    <row r="3" spans="1:36">
      <c r="B3" s="7">
        <v>-4</v>
      </c>
      <c r="C3" s="12">
        <v>7.9749999999999996</v>
      </c>
      <c r="D3" s="14">
        <f t="shared" si="0"/>
        <v>-8.3333333333333332E-3</v>
      </c>
      <c r="E3" s="7">
        <v>0</v>
      </c>
      <c r="F3" s="15">
        <f>AVERAGE(D2:D12)</f>
        <v>1.8787878787878793E-3</v>
      </c>
      <c r="N3" s="7">
        <f t="shared" ref="N3:N12" si="1">N2+1</f>
        <v>-4</v>
      </c>
      <c r="O3" s="7">
        <v>7.9009999999999998</v>
      </c>
      <c r="W3" s="7">
        <f t="shared" ref="W3:W12" si="2">W2+1</f>
        <v>-4</v>
      </c>
      <c r="X3" s="7">
        <v>7.9749999999999996</v>
      </c>
      <c r="AG3" s="7">
        <f t="shared" ref="AG3:AG12" si="3">AG2+1</f>
        <v>-4</v>
      </c>
      <c r="AH3" s="7">
        <v>7.976</v>
      </c>
    </row>
    <row r="4" spans="1:36">
      <c r="B4" s="7">
        <f t="shared" ref="B4:B12" si="4">B3+1</f>
        <v>-3</v>
      </c>
      <c r="C4" s="12">
        <v>5.9829999999999997</v>
      </c>
      <c r="D4" s="14">
        <f t="shared" si="0"/>
        <v>-5.6666666666666671E-3</v>
      </c>
      <c r="E4" s="7">
        <v>0</v>
      </c>
      <c r="N4" s="7">
        <f t="shared" si="1"/>
        <v>-3</v>
      </c>
      <c r="O4" s="7">
        <v>5.96</v>
      </c>
      <c r="W4" s="7">
        <f t="shared" si="2"/>
        <v>-3</v>
      </c>
      <c r="X4" s="7">
        <v>5.9669999999999996</v>
      </c>
      <c r="AG4" s="7">
        <f t="shared" si="3"/>
        <v>-3</v>
      </c>
      <c r="AH4" s="7">
        <v>5.984</v>
      </c>
    </row>
    <row r="5" spans="1:36">
      <c r="B5" s="7">
        <f t="shared" si="4"/>
        <v>-2</v>
      </c>
      <c r="C5" s="12">
        <v>3.9910000000000001</v>
      </c>
      <c r="D5" s="14">
        <f t="shared" si="0"/>
        <v>-3.0000000000000001E-3</v>
      </c>
      <c r="E5" s="7">
        <v>0</v>
      </c>
      <c r="N5" s="7">
        <f t="shared" si="1"/>
        <v>-2</v>
      </c>
      <c r="O5" s="7">
        <v>3.9660000000000002</v>
      </c>
      <c r="W5" s="7">
        <f t="shared" si="2"/>
        <v>-2</v>
      </c>
      <c r="X5" s="7">
        <v>3.9710000000000001</v>
      </c>
      <c r="AG5" s="7">
        <f t="shared" si="3"/>
        <v>-2</v>
      </c>
      <c r="AH5" s="7">
        <v>3.9910000000000001</v>
      </c>
    </row>
    <row r="6" spans="1:36">
      <c r="B6" s="7">
        <f t="shared" si="4"/>
        <v>-1</v>
      </c>
      <c r="C6" s="12">
        <v>1.998</v>
      </c>
      <c r="D6" s="14">
        <f t="shared" si="0"/>
        <v>-6.6666666666666664E-4</v>
      </c>
      <c r="E6" s="7">
        <v>0</v>
      </c>
      <c r="N6" s="7">
        <f t="shared" si="1"/>
        <v>-1</v>
      </c>
      <c r="O6" s="7">
        <v>1.976</v>
      </c>
      <c r="W6" s="7">
        <f t="shared" si="2"/>
        <v>-1</v>
      </c>
      <c r="X6" s="7">
        <v>1.9950000000000001</v>
      </c>
      <c r="AG6" s="7">
        <f t="shared" si="3"/>
        <v>-1</v>
      </c>
      <c r="AH6" s="7">
        <v>1.9990000000000001</v>
      </c>
    </row>
    <row r="7" spans="1:36">
      <c r="B7" s="7">
        <f t="shared" si="4"/>
        <v>0</v>
      </c>
      <c r="C7" s="12">
        <v>6.0000000000000001E-3</v>
      </c>
      <c r="D7" s="14">
        <f t="shared" si="0"/>
        <v>2E-3</v>
      </c>
      <c r="E7" s="7">
        <v>0</v>
      </c>
      <c r="N7" s="7">
        <f t="shared" si="1"/>
        <v>0</v>
      </c>
      <c r="O7" s="7">
        <v>-1.4999999999999999E-2</v>
      </c>
      <c r="W7" s="7">
        <f t="shared" si="2"/>
        <v>0</v>
      </c>
      <c r="X7" s="7">
        <v>-0.02</v>
      </c>
      <c r="AG7" s="7">
        <f t="shared" si="3"/>
        <v>0</v>
      </c>
      <c r="AH7" s="7">
        <v>6.0000000000000001E-3</v>
      </c>
    </row>
    <row r="8" spans="1:36">
      <c r="B8" s="7">
        <f t="shared" si="4"/>
        <v>1</v>
      </c>
      <c r="C8" s="12">
        <v>-1.9870000000000001</v>
      </c>
      <c r="D8" s="14">
        <f t="shared" si="0"/>
        <v>4.3333333333333331E-3</v>
      </c>
      <c r="E8" s="7">
        <v>0</v>
      </c>
      <c r="N8" s="7">
        <f t="shared" si="1"/>
        <v>1</v>
      </c>
      <c r="O8" s="7">
        <v>-2.0070000000000001</v>
      </c>
      <c r="W8" s="7">
        <f t="shared" si="2"/>
        <v>1</v>
      </c>
      <c r="X8" s="7">
        <v>-1.9870000000000001</v>
      </c>
      <c r="AG8" s="7">
        <f t="shared" si="3"/>
        <v>1</v>
      </c>
      <c r="AH8" s="7">
        <v>-1.9870000000000001</v>
      </c>
    </row>
    <row r="9" spans="1:36">
      <c r="B9" s="7">
        <f t="shared" si="4"/>
        <v>2</v>
      </c>
      <c r="C9" s="12">
        <v>-3.9790000000000001</v>
      </c>
      <c r="D9" s="14">
        <f t="shared" si="0"/>
        <v>7.0000000000000001E-3</v>
      </c>
      <c r="E9" s="7">
        <v>0</v>
      </c>
      <c r="N9" s="7">
        <f t="shared" si="1"/>
        <v>2</v>
      </c>
      <c r="O9" s="7">
        <v>-3.996</v>
      </c>
      <c r="W9" s="7">
        <f t="shared" si="2"/>
        <v>2</v>
      </c>
      <c r="X9" s="7">
        <v>-3.9790000000000001</v>
      </c>
      <c r="AG9" s="7">
        <f t="shared" si="3"/>
        <v>2</v>
      </c>
      <c r="AH9" s="7">
        <v>-3.98</v>
      </c>
    </row>
    <row r="10" spans="1:36">
      <c r="B10" s="7">
        <f t="shared" si="4"/>
        <v>3</v>
      </c>
      <c r="C10" s="12">
        <v>-5.9710000000000001</v>
      </c>
      <c r="D10" s="14">
        <f t="shared" si="0"/>
        <v>9.6666666666666672E-3</v>
      </c>
      <c r="E10" s="7">
        <v>0</v>
      </c>
      <c r="N10" s="7">
        <f t="shared" si="1"/>
        <v>3</v>
      </c>
      <c r="O10" s="7">
        <v>-5.9859999999999998</v>
      </c>
      <c r="W10" s="7">
        <f t="shared" si="2"/>
        <v>3</v>
      </c>
      <c r="X10" s="7">
        <v>-5.9710000000000001</v>
      </c>
      <c r="AG10" s="7">
        <f t="shared" si="3"/>
        <v>3</v>
      </c>
      <c r="AH10" s="7">
        <v>-5.9720000000000004</v>
      </c>
    </row>
    <row r="11" spans="1:36">
      <c r="B11" s="7">
        <f t="shared" si="4"/>
        <v>4</v>
      </c>
      <c r="C11" s="12">
        <v>-7.9640000000000004</v>
      </c>
      <c r="D11" s="14">
        <f t="shared" si="0"/>
        <v>1.2E-2</v>
      </c>
      <c r="E11" s="7">
        <v>0</v>
      </c>
      <c r="N11" s="7">
        <f t="shared" si="1"/>
        <v>4</v>
      </c>
      <c r="O11" s="7">
        <v>-7.976</v>
      </c>
      <c r="W11" s="7">
        <f t="shared" si="2"/>
        <v>4</v>
      </c>
      <c r="X11" s="7">
        <v>-7.9649999999999999</v>
      </c>
      <c r="AG11" s="7">
        <f t="shared" si="3"/>
        <v>4</v>
      </c>
      <c r="AH11" s="7">
        <v>-7.9640000000000004</v>
      </c>
    </row>
    <row r="12" spans="1:36">
      <c r="B12" s="7">
        <f t="shared" si="4"/>
        <v>5</v>
      </c>
      <c r="C12" s="12">
        <v>-9.9559999999999995</v>
      </c>
      <c r="D12" s="14">
        <f t="shared" si="0"/>
        <v>1.4666666666666666E-2</v>
      </c>
      <c r="E12" s="7">
        <v>0</v>
      </c>
      <c r="N12" s="7">
        <f t="shared" si="1"/>
        <v>5</v>
      </c>
      <c r="O12" s="7">
        <v>-9.9649999999999999</v>
      </c>
      <c r="W12" s="7">
        <f t="shared" si="2"/>
        <v>5</v>
      </c>
      <c r="X12" s="7">
        <v>-9.9550000000000001</v>
      </c>
      <c r="AG12" s="7">
        <f t="shared" si="3"/>
        <v>5</v>
      </c>
      <c r="AH12" s="7">
        <v>-9.9570000000000007</v>
      </c>
    </row>
    <row r="13" spans="1:36">
      <c r="D13" s="6">
        <f t="shared" si="0"/>
        <v>0</v>
      </c>
      <c r="E13" s="6">
        <v>0</v>
      </c>
    </row>
    <row r="14" spans="1:36">
      <c r="D14" s="6">
        <f t="shared" si="0"/>
        <v>0</v>
      </c>
      <c r="E14" s="6">
        <v>0</v>
      </c>
      <c r="G14" s="6" t="s">
        <v>11</v>
      </c>
      <c r="H14" s="6" t="s">
        <v>12</v>
      </c>
      <c r="I14" s="6" t="s">
        <v>13</v>
      </c>
      <c r="J14" s="6" t="s">
        <v>14</v>
      </c>
    </row>
    <row r="15" spans="1:36">
      <c r="D15" s="6">
        <f t="shared" si="0"/>
        <v>0</v>
      </c>
      <c r="E15" s="6">
        <v>0</v>
      </c>
      <c r="G15" s="6">
        <f>SLOPE(C2:C50,B2:B50)</f>
        <v>-1.9923</v>
      </c>
      <c r="H15" s="6">
        <v>-2</v>
      </c>
      <c r="I15" s="6">
        <f>INTERCEPT(C2:C50,B2:B50)</f>
        <v>5.6363636363639035E-3</v>
      </c>
      <c r="J15" s="6">
        <v>0</v>
      </c>
    </row>
    <row r="16" spans="1:36">
      <c r="D16" s="6">
        <f t="shared" si="0"/>
        <v>0</v>
      </c>
      <c r="E16" s="6">
        <v>0</v>
      </c>
      <c r="G16" s="6" t="s">
        <v>15</v>
      </c>
      <c r="AJ16" s="6" t="s">
        <v>16</v>
      </c>
    </row>
    <row r="17" spans="4:7">
      <c r="D17" s="6">
        <f t="shared" si="0"/>
        <v>0</v>
      </c>
      <c r="E17" s="6">
        <v>0</v>
      </c>
      <c r="G17" s="6">
        <f>-100*(ABS(G15-H15))/H15</f>
        <v>0.38500000000000201</v>
      </c>
    </row>
    <row r="18" spans="4:7">
      <c r="D18" s="6">
        <f t="shared" si="0"/>
        <v>0</v>
      </c>
      <c r="E18" s="6">
        <v>0</v>
      </c>
    </row>
    <row r="19" spans="4:7">
      <c r="D19" s="6">
        <f t="shared" si="0"/>
        <v>0</v>
      </c>
      <c r="E19" s="6">
        <v>0</v>
      </c>
    </row>
    <row r="20" spans="4:7">
      <c r="D20" s="6">
        <f t="shared" si="0"/>
        <v>0</v>
      </c>
      <c r="E20" s="6">
        <v>0</v>
      </c>
    </row>
    <row r="21" spans="4:7">
      <c r="D21" s="6">
        <f t="shared" si="0"/>
        <v>0</v>
      </c>
      <c r="E21" s="6">
        <v>0</v>
      </c>
    </row>
    <row r="22" spans="4:7">
      <c r="D22" s="6">
        <f t="shared" si="0"/>
        <v>0</v>
      </c>
      <c r="E22" s="6">
        <v>0</v>
      </c>
    </row>
    <row r="23" spans="4:7">
      <c r="D23" s="6">
        <f t="shared" si="0"/>
        <v>0</v>
      </c>
      <c r="E23" s="6">
        <v>0</v>
      </c>
    </row>
    <row r="24" spans="4:7">
      <c r="D24" s="6">
        <f t="shared" si="0"/>
        <v>0</v>
      </c>
      <c r="E24" s="6">
        <v>0</v>
      </c>
    </row>
    <row r="25" spans="4:7">
      <c r="D25" s="6">
        <f t="shared" si="0"/>
        <v>0</v>
      </c>
      <c r="E25" s="6">
        <v>0</v>
      </c>
    </row>
    <row r="26" spans="4:7">
      <c r="D26" s="6">
        <f t="shared" si="0"/>
        <v>0</v>
      </c>
      <c r="E26" s="6">
        <v>0</v>
      </c>
    </row>
    <row r="27" spans="4:7">
      <c r="D27" s="6">
        <f t="shared" si="0"/>
        <v>0</v>
      </c>
      <c r="E27" s="6">
        <v>0</v>
      </c>
    </row>
    <row r="28" spans="4:7">
      <c r="D28" s="6">
        <f t="shared" si="0"/>
        <v>0</v>
      </c>
      <c r="E28" s="6">
        <v>0</v>
      </c>
    </row>
    <row r="29" spans="4:7">
      <c r="D29" s="6">
        <f t="shared" si="0"/>
        <v>0</v>
      </c>
      <c r="E29" s="6">
        <v>0</v>
      </c>
    </row>
    <row r="30" spans="4:7">
      <c r="D30" s="6">
        <f t="shared" si="0"/>
        <v>0</v>
      </c>
      <c r="E30" s="6">
        <v>0</v>
      </c>
    </row>
    <row r="31" spans="4:7">
      <c r="D31" s="6">
        <f t="shared" si="0"/>
        <v>0</v>
      </c>
      <c r="E31" s="6">
        <v>0</v>
      </c>
    </row>
    <row r="32" spans="4:7">
      <c r="D32" s="6">
        <f t="shared" si="0"/>
        <v>0</v>
      </c>
      <c r="E32" s="6">
        <v>0</v>
      </c>
    </row>
    <row r="33" spans="4:5">
      <c r="D33" s="6">
        <f t="shared" si="0"/>
        <v>0</v>
      </c>
      <c r="E33" s="6">
        <v>0</v>
      </c>
    </row>
    <row r="34" spans="4:5">
      <c r="D34" s="6">
        <f t="shared" ref="D34:D50" si="5">(20*(10^3)*B34+(10^4)*C34)/(20*(10^3)+(10^4))</f>
        <v>0</v>
      </c>
      <c r="E34" s="6">
        <v>0</v>
      </c>
    </row>
    <row r="35" spans="4:5">
      <c r="D35" s="6">
        <f t="shared" si="5"/>
        <v>0</v>
      </c>
      <c r="E35" s="6">
        <v>0</v>
      </c>
    </row>
    <row r="36" spans="4:5">
      <c r="D36" s="6">
        <f t="shared" si="5"/>
        <v>0</v>
      </c>
      <c r="E36" s="6">
        <v>0</v>
      </c>
    </row>
    <row r="37" spans="4:5">
      <c r="D37" s="6">
        <f t="shared" si="5"/>
        <v>0</v>
      </c>
      <c r="E37" s="6">
        <v>0</v>
      </c>
    </row>
    <row r="38" spans="4:5">
      <c r="D38" s="6">
        <f t="shared" si="5"/>
        <v>0</v>
      </c>
      <c r="E38" s="6">
        <v>0</v>
      </c>
    </row>
    <row r="39" spans="4:5">
      <c r="D39" s="6">
        <f t="shared" si="5"/>
        <v>0</v>
      </c>
      <c r="E39" s="6">
        <v>0</v>
      </c>
    </row>
    <row r="40" spans="4:5">
      <c r="D40" s="6">
        <f t="shared" si="5"/>
        <v>0</v>
      </c>
      <c r="E40" s="6">
        <v>0</v>
      </c>
    </row>
    <row r="41" spans="4:5">
      <c r="D41" s="6">
        <f t="shared" si="5"/>
        <v>0</v>
      </c>
      <c r="E41" s="6">
        <v>0</v>
      </c>
    </row>
    <row r="42" spans="4:5">
      <c r="D42" s="6">
        <f t="shared" si="5"/>
        <v>0</v>
      </c>
      <c r="E42" s="6">
        <v>0</v>
      </c>
    </row>
    <row r="43" spans="4:5">
      <c r="D43" s="6">
        <f t="shared" si="5"/>
        <v>0</v>
      </c>
      <c r="E43" s="6">
        <v>0</v>
      </c>
    </row>
    <row r="44" spans="4:5">
      <c r="D44" s="6">
        <f t="shared" si="5"/>
        <v>0</v>
      </c>
      <c r="E44" s="6">
        <v>0</v>
      </c>
    </row>
    <row r="45" spans="4:5">
      <c r="D45" s="6">
        <f t="shared" si="5"/>
        <v>0</v>
      </c>
      <c r="E45" s="6">
        <v>0</v>
      </c>
    </row>
    <row r="46" spans="4:5">
      <c r="D46" s="6">
        <f t="shared" si="5"/>
        <v>0</v>
      </c>
      <c r="E46" s="6">
        <v>0</v>
      </c>
    </row>
    <row r="47" spans="4:5">
      <c r="D47" s="6">
        <f t="shared" si="5"/>
        <v>0</v>
      </c>
      <c r="E47" s="6">
        <v>0</v>
      </c>
    </row>
    <row r="48" spans="4:5">
      <c r="D48" s="6">
        <f t="shared" si="5"/>
        <v>0</v>
      </c>
      <c r="E48" s="6">
        <v>0</v>
      </c>
    </row>
    <row r="49" spans="4:5">
      <c r="D49" s="6">
        <f t="shared" si="5"/>
        <v>0</v>
      </c>
      <c r="E49" s="6">
        <v>0</v>
      </c>
    </row>
    <row r="50" spans="4:5">
      <c r="D50" s="6">
        <f t="shared" si="5"/>
        <v>0</v>
      </c>
      <c r="E50" s="6">
        <v>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E064-DE4F-A24A-BCAF-9655B81B1468}">
  <dimension ref="A1:AS50"/>
  <sheetViews>
    <sheetView tabSelected="1" zoomScale="75" zoomScaleNormal="100" workbookViewId="0">
      <selection activeCell="AG1" sqref="AG1:AJ28"/>
    </sheetView>
  </sheetViews>
  <sheetFormatPr baseColWidth="10" defaultColWidth="11.5703125" defaultRowHeight="20"/>
  <cols>
    <col min="1" max="1" width="14.42578125" bestFit="1" customWidth="1"/>
    <col min="4" max="4" width="24" bestFit="1" customWidth="1"/>
    <col min="16" max="16" width="24.140625" bestFit="1" customWidth="1"/>
    <col min="25" max="25" width="24" bestFit="1" customWidth="1"/>
    <col min="35" max="35" width="24.5703125" bestFit="1" customWidth="1"/>
    <col min="44" max="44" width="15" bestFit="1" customWidth="1"/>
  </cols>
  <sheetData>
    <row r="1" spans="1:45" ht="22">
      <c r="A1" t="s">
        <v>0</v>
      </c>
      <c r="B1" s="18" t="s">
        <v>1</v>
      </c>
      <c r="C1" s="18" t="s">
        <v>2</v>
      </c>
      <c r="D1" s="18" t="s">
        <v>3</v>
      </c>
      <c r="E1" s="18" t="s">
        <v>35</v>
      </c>
      <c r="M1" t="s">
        <v>17</v>
      </c>
      <c r="N1" s="18" t="s">
        <v>1</v>
      </c>
      <c r="O1" s="18" t="s">
        <v>2</v>
      </c>
      <c r="P1" s="18" t="s">
        <v>3</v>
      </c>
      <c r="Q1" s="18" t="s">
        <v>35</v>
      </c>
      <c r="V1" t="s">
        <v>18</v>
      </c>
      <c r="W1" s="18" t="s">
        <v>7</v>
      </c>
      <c r="X1" s="18" t="s">
        <v>8</v>
      </c>
      <c r="Y1" s="18" t="s">
        <v>3</v>
      </c>
      <c r="Z1" s="18" t="s">
        <v>35</v>
      </c>
      <c r="AF1" t="s">
        <v>19</v>
      </c>
      <c r="AG1" s="18" t="s">
        <v>7</v>
      </c>
      <c r="AH1" s="18" t="s">
        <v>8</v>
      </c>
      <c r="AI1" s="18" t="s">
        <v>3</v>
      </c>
      <c r="AJ1" s="18" t="s">
        <v>35</v>
      </c>
    </row>
    <row r="2" spans="1:45">
      <c r="A2" t="s">
        <v>20</v>
      </c>
      <c r="B2" s="18">
        <v>-5</v>
      </c>
      <c r="C2" s="18">
        <v>-14.17</v>
      </c>
      <c r="D2" s="18">
        <f>C2/3</f>
        <v>-4.7233333333333336</v>
      </c>
      <c r="E2" s="18">
        <f>100*ABS((B2-D2)/B2)</f>
        <v>5.5333333333333279</v>
      </c>
      <c r="N2" s="21">
        <v>-5</v>
      </c>
      <c r="O2" s="20">
        <v>-13.295</v>
      </c>
      <c r="P2" s="20">
        <f>O2/3</f>
        <v>-4.4316666666666666</v>
      </c>
      <c r="Q2" s="20">
        <f>100*ABS((N2-P2)/N2)</f>
        <v>11.366666666666667</v>
      </c>
      <c r="W2" s="18">
        <v>-5</v>
      </c>
      <c r="X2" s="18">
        <v>-11.76</v>
      </c>
      <c r="Y2" s="20">
        <f>X2/3</f>
        <v>-3.92</v>
      </c>
      <c r="Z2" s="20">
        <f>100*ABS((W2-Y2)/W2)</f>
        <v>21.6</v>
      </c>
      <c r="AG2" s="21">
        <v>-5</v>
      </c>
      <c r="AH2" s="22">
        <v>-10.65</v>
      </c>
      <c r="AI2" s="20">
        <f>AH2/3</f>
        <v>-3.5500000000000003</v>
      </c>
      <c r="AJ2" s="20">
        <f>100*ABS((AG2-AI2)/AG2)</f>
        <v>28.999999999999993</v>
      </c>
    </row>
    <row r="3" spans="1:45">
      <c r="B3" s="18">
        <v>-4.8</v>
      </c>
      <c r="C3" s="18">
        <v>-14.069000000000001</v>
      </c>
      <c r="D3" s="18">
        <f t="shared" ref="D3:D20" si="0">C3/3</f>
        <v>-4.6896666666666667</v>
      </c>
      <c r="E3" s="18">
        <f t="shared" ref="E3:E20" si="1">100*ABS((B3-D3)/B3)</f>
        <v>2.2986111111111081</v>
      </c>
      <c r="N3" s="21">
        <v>-4.8</v>
      </c>
      <c r="O3" s="20">
        <v>-13.250999999999999</v>
      </c>
      <c r="P3" s="20">
        <f t="shared" ref="P3:P20" si="2">O3/3</f>
        <v>-4.4169999999999998</v>
      </c>
      <c r="Q3" s="20">
        <f t="shared" ref="Q3:Q10" si="3">100*ABS((N3-P3)/N3)</f>
        <v>7.9791666666666679</v>
      </c>
      <c r="W3" s="18">
        <v>-4.8</v>
      </c>
      <c r="X3" s="18">
        <v>-11.749000000000001</v>
      </c>
      <c r="Y3" s="20">
        <f t="shared" ref="Y3:Y28" si="4">X3/3</f>
        <v>-3.9163333333333337</v>
      </c>
      <c r="Z3" s="20">
        <f t="shared" ref="Z3:Z28" si="5">100*ABS((W3-Y3)/W3)</f>
        <v>18.409722222222214</v>
      </c>
      <c r="AG3" s="21">
        <v>-4.8</v>
      </c>
      <c r="AH3" s="22">
        <v>-10.618</v>
      </c>
      <c r="AI3" s="20">
        <f t="shared" ref="AI3:AI28" si="6">AH3/3</f>
        <v>-3.5393333333333334</v>
      </c>
      <c r="AJ3" s="20">
        <f>100*ABS((AG3-AI3)/AG3)</f>
        <v>26.263888888888886</v>
      </c>
      <c r="AQ3" s="23"/>
      <c r="AR3" s="18" t="s">
        <v>41</v>
      </c>
      <c r="AS3" s="18" t="s">
        <v>42</v>
      </c>
    </row>
    <row r="4" spans="1:45">
      <c r="B4" s="18">
        <v>-4.5999999999999996</v>
      </c>
      <c r="C4" s="18">
        <v>-13.760999999999999</v>
      </c>
      <c r="D4" s="18">
        <f t="shared" si="0"/>
        <v>-4.5869999999999997</v>
      </c>
      <c r="E4" s="18">
        <f t="shared" si="1"/>
        <v>0.28260869565217173</v>
      </c>
      <c r="N4" s="21">
        <v>-4.5999999999999996</v>
      </c>
      <c r="O4" s="20">
        <v>-13.242000000000001</v>
      </c>
      <c r="P4" s="20">
        <f t="shared" si="2"/>
        <v>-4.4140000000000006</v>
      </c>
      <c r="Q4" s="20">
        <f t="shared" si="3"/>
        <v>4.043478260869545</v>
      </c>
      <c r="W4" s="18">
        <v>-4.5999999999999996</v>
      </c>
      <c r="X4" s="18">
        <v>-11.743</v>
      </c>
      <c r="Y4" s="20">
        <f t="shared" si="4"/>
        <v>-3.9143333333333334</v>
      </c>
      <c r="Z4" s="20">
        <f t="shared" si="5"/>
        <v>14.905797101449267</v>
      </c>
      <c r="AG4" s="21">
        <v>-4.5999999999999996</v>
      </c>
      <c r="AH4" s="22">
        <v>-10.606</v>
      </c>
      <c r="AI4" s="20">
        <f t="shared" si="6"/>
        <v>-3.5353333333333334</v>
      </c>
      <c r="AJ4" s="20">
        <f t="shared" ref="AJ4:AJ14" si="7">100*ABS((AG4-AI4)/AG4)</f>
        <v>23.144927536231876</v>
      </c>
      <c r="AQ4" s="18" t="s">
        <v>37</v>
      </c>
      <c r="AR4" s="19">
        <f>G17</f>
        <v>0.21857144628124972</v>
      </c>
      <c r="AS4" s="19">
        <f>I15</f>
        <v>6.7812243152276519E-3</v>
      </c>
    </row>
    <row r="5" spans="1:45">
      <c r="B5" s="18">
        <v>-4.4000000000000004</v>
      </c>
      <c r="C5" s="18">
        <v>-13.162000000000001</v>
      </c>
      <c r="D5" s="18">
        <f t="shared" si="0"/>
        <v>-4.3873333333333333</v>
      </c>
      <c r="E5" s="18">
        <f t="shared" si="1"/>
        <v>0.28787878787879656</v>
      </c>
      <c r="N5" s="21">
        <v>-4.4000000000000004</v>
      </c>
      <c r="O5" s="20">
        <v>-13.163</v>
      </c>
      <c r="P5" s="20">
        <f t="shared" si="2"/>
        <v>-4.387666666666667</v>
      </c>
      <c r="Q5" s="20">
        <f t="shared" si="3"/>
        <v>0.28030303030302967</v>
      </c>
      <c r="W5" s="18">
        <v>-4.4000000000000004</v>
      </c>
      <c r="X5" s="18">
        <v>-11.739000000000001</v>
      </c>
      <c r="Y5" s="20">
        <f t="shared" si="4"/>
        <v>-3.9130000000000003</v>
      </c>
      <c r="Z5" s="20">
        <f t="shared" si="5"/>
        <v>11.06818181818182</v>
      </c>
      <c r="AG5" s="21">
        <v>-4.4000000000000004</v>
      </c>
      <c r="AH5" s="22">
        <v>-10.599</v>
      </c>
      <c r="AI5" s="20">
        <f t="shared" si="6"/>
        <v>-3.5329999999999999</v>
      </c>
      <c r="AJ5" s="20">
        <f t="shared" si="7"/>
        <v>19.704545454545464</v>
      </c>
      <c r="AQ5" s="18" t="s">
        <v>38</v>
      </c>
      <c r="AR5" s="19">
        <f>S17</f>
        <v>0.23616915422885279</v>
      </c>
      <c r="AS5" s="19">
        <f>U15</f>
        <v>5.9230769230769875E-3</v>
      </c>
    </row>
    <row r="6" spans="1:45">
      <c r="B6" s="18">
        <v>-4.2</v>
      </c>
      <c r="C6" s="18">
        <v>-12.564</v>
      </c>
      <c r="D6" s="18">
        <f t="shared" si="0"/>
        <v>-4.1879999999999997</v>
      </c>
      <c r="E6" s="18">
        <f t="shared" si="1"/>
        <v>0.28571428571429652</v>
      </c>
      <c r="N6" s="21">
        <v>-4.2</v>
      </c>
      <c r="O6" s="20">
        <v>-12.564</v>
      </c>
      <c r="P6" s="20">
        <f t="shared" si="2"/>
        <v>-4.1879999999999997</v>
      </c>
      <c r="Q6" s="20">
        <f t="shared" si="3"/>
        <v>0.28571428571429652</v>
      </c>
      <c r="W6" s="18">
        <v>-4.2</v>
      </c>
      <c r="X6" s="18">
        <v>-11.734</v>
      </c>
      <c r="Y6" s="20">
        <f t="shared" si="4"/>
        <v>-3.9113333333333333</v>
      </c>
      <c r="Z6" s="20">
        <f t="shared" si="5"/>
        <v>6.873015873015877</v>
      </c>
      <c r="AG6" s="21">
        <v>-4.2</v>
      </c>
      <c r="AH6" s="22">
        <v>-10.593999999999999</v>
      </c>
      <c r="AI6" s="20">
        <f t="shared" si="6"/>
        <v>-3.531333333333333</v>
      </c>
      <c r="AJ6" s="20">
        <f t="shared" si="7"/>
        <v>15.920634920634932</v>
      </c>
      <c r="AQ6" s="18" t="s">
        <v>39</v>
      </c>
      <c r="AR6" s="19">
        <f>AB17</f>
        <v>1.9106039619198729</v>
      </c>
      <c r="AS6" s="19">
        <f>AD15</f>
        <v>0.11421390409603727</v>
      </c>
    </row>
    <row r="7" spans="1:45">
      <c r="B7" s="18">
        <v>-4</v>
      </c>
      <c r="C7" s="18">
        <v>-11.968999999999999</v>
      </c>
      <c r="D7" s="18">
        <f t="shared" si="0"/>
        <v>-3.9896666666666665</v>
      </c>
      <c r="E7" s="18">
        <f t="shared" si="1"/>
        <v>0.25833333333333819</v>
      </c>
      <c r="N7" s="21">
        <v>-4</v>
      </c>
      <c r="O7" s="20">
        <v>-11.965999999999999</v>
      </c>
      <c r="P7" s="20">
        <f t="shared" si="2"/>
        <v>-3.9886666666666666</v>
      </c>
      <c r="Q7" s="20">
        <f t="shared" si="3"/>
        <v>0.28333333333333544</v>
      </c>
      <c r="W7" s="18">
        <v>-4</v>
      </c>
      <c r="X7" s="18">
        <v>-11.728999999999999</v>
      </c>
      <c r="Y7" s="20">
        <f t="shared" si="4"/>
        <v>-3.9096666666666664</v>
      </c>
      <c r="Z7" s="20">
        <f t="shared" si="5"/>
        <v>2.25833333333334</v>
      </c>
      <c r="AG7" s="21">
        <v>-4</v>
      </c>
      <c r="AH7" s="22">
        <v>-10.59</v>
      </c>
      <c r="AI7" s="20">
        <f t="shared" si="6"/>
        <v>-3.53</v>
      </c>
      <c r="AJ7" s="20">
        <f t="shared" si="7"/>
        <v>11.750000000000005</v>
      </c>
      <c r="AQ7" s="18" t="s">
        <v>40</v>
      </c>
      <c r="AR7" s="19">
        <f>AL17</f>
        <v>3.7156417764763194</v>
      </c>
      <c r="AS7" s="19">
        <f>AN15</f>
        <v>0.19677306002928319</v>
      </c>
    </row>
    <row r="8" spans="1:45">
      <c r="B8" s="18">
        <v>-3</v>
      </c>
      <c r="C8" s="18">
        <v>-8.9760000000000009</v>
      </c>
      <c r="D8" s="18">
        <f t="shared" si="0"/>
        <v>-2.9920000000000004</v>
      </c>
      <c r="E8" s="18">
        <f t="shared" si="1"/>
        <v>0.26666666666665206</v>
      </c>
      <c r="N8" s="21">
        <v>-3</v>
      </c>
      <c r="O8" s="20">
        <v>-8.9730000000000008</v>
      </c>
      <c r="P8" s="20">
        <f t="shared" si="2"/>
        <v>-2.9910000000000001</v>
      </c>
      <c r="Q8" s="20">
        <f t="shared" si="3"/>
        <v>0.2999999999999966</v>
      </c>
      <c r="W8" s="18">
        <v>-3.8</v>
      </c>
      <c r="X8" s="18">
        <v>-11.366</v>
      </c>
      <c r="Y8" s="20">
        <f t="shared" si="4"/>
        <v>-3.7886666666666664</v>
      </c>
      <c r="Z8" s="20">
        <f t="shared" si="5"/>
        <v>0.29824561403508992</v>
      </c>
      <c r="AG8" s="21">
        <v>-3.8</v>
      </c>
      <c r="AH8" s="22">
        <v>-10.586</v>
      </c>
      <c r="AI8" s="20">
        <f t="shared" si="6"/>
        <v>-3.5286666666666666</v>
      </c>
      <c r="AJ8" s="20">
        <f t="shared" si="7"/>
        <v>7.1403508771929785</v>
      </c>
    </row>
    <row r="9" spans="1:45">
      <c r="B9" s="18">
        <v>-2</v>
      </c>
      <c r="C9" s="18">
        <v>-5.9820000000000002</v>
      </c>
      <c r="D9" s="18">
        <f t="shared" si="0"/>
        <v>-1.994</v>
      </c>
      <c r="E9" s="18">
        <f t="shared" si="1"/>
        <v>0.30000000000000027</v>
      </c>
      <c r="N9" s="21">
        <v>-2</v>
      </c>
      <c r="O9" s="20">
        <v>-5.98</v>
      </c>
      <c r="P9" s="20">
        <f t="shared" si="2"/>
        <v>-1.9933333333333334</v>
      </c>
      <c r="Q9" s="20">
        <f t="shared" si="3"/>
        <v>0.33333333333332993</v>
      </c>
      <c r="W9" s="18">
        <v>-3.6</v>
      </c>
      <c r="X9" s="18">
        <v>-10.766999999999999</v>
      </c>
      <c r="Y9" s="20">
        <f t="shared" si="4"/>
        <v>-3.589</v>
      </c>
      <c r="Z9" s="20">
        <f t="shared" si="5"/>
        <v>0.30555555555555891</v>
      </c>
      <c r="AG9" s="21">
        <v>-3.6</v>
      </c>
      <c r="AH9" s="22">
        <v>-10.58</v>
      </c>
      <c r="AI9" s="20">
        <f t="shared" si="6"/>
        <v>-3.5266666666666668</v>
      </c>
      <c r="AJ9" s="20">
        <f t="shared" si="7"/>
        <v>2.037037037037035</v>
      </c>
    </row>
    <row r="10" spans="1:45">
      <c r="B10" s="18">
        <v>-1</v>
      </c>
      <c r="C10" s="18">
        <v>-2.988</v>
      </c>
      <c r="D10" s="18">
        <f t="shared" si="0"/>
        <v>-0.996</v>
      </c>
      <c r="E10" s="18">
        <f t="shared" si="1"/>
        <v>0.40000000000000036</v>
      </c>
      <c r="N10" s="21">
        <v>-1</v>
      </c>
      <c r="O10" s="20">
        <v>-2.9870000000000001</v>
      </c>
      <c r="P10" s="20">
        <f t="shared" si="2"/>
        <v>-0.9956666666666667</v>
      </c>
      <c r="Q10" s="20">
        <f t="shared" si="3"/>
        <v>0.43333333333333002</v>
      </c>
      <c r="W10" s="18">
        <v>-3.4</v>
      </c>
      <c r="X10" s="18">
        <v>-10.167999999999999</v>
      </c>
      <c r="Y10" s="20">
        <f t="shared" si="4"/>
        <v>-3.3893333333333331</v>
      </c>
      <c r="Z10" s="20">
        <f t="shared" si="5"/>
        <v>0.31372549019608303</v>
      </c>
      <c r="AG10" s="21">
        <v>-3.4</v>
      </c>
      <c r="AH10" s="22">
        <v>-10.169</v>
      </c>
      <c r="AI10" s="20">
        <f t="shared" si="6"/>
        <v>-3.3896666666666668</v>
      </c>
      <c r="AJ10" s="20">
        <f t="shared" si="7"/>
        <v>0.30392156862744363</v>
      </c>
    </row>
    <row r="11" spans="1:45">
      <c r="B11" s="18">
        <v>0</v>
      </c>
      <c r="C11" s="18">
        <v>6.0000000000000001E-3</v>
      </c>
      <c r="D11" s="18">
        <f t="shared" si="0"/>
        <v>2E-3</v>
      </c>
      <c r="E11" s="18" t="s">
        <v>36</v>
      </c>
      <c r="N11" s="21">
        <v>0</v>
      </c>
      <c r="O11" s="20">
        <v>6.0000000000000001E-3</v>
      </c>
      <c r="P11" s="20">
        <f t="shared" si="2"/>
        <v>2E-3</v>
      </c>
      <c r="Q11" s="20" t="s">
        <v>36</v>
      </c>
      <c r="W11" s="18">
        <v>-3.2</v>
      </c>
      <c r="X11" s="18">
        <v>-9.57</v>
      </c>
      <c r="Y11" s="20">
        <f t="shared" si="4"/>
        <v>-3.19</v>
      </c>
      <c r="Z11" s="20">
        <f t="shared" si="5"/>
        <v>0.31250000000000722</v>
      </c>
      <c r="AG11" s="21">
        <v>-3.2</v>
      </c>
      <c r="AH11" s="22">
        <v>-9.5690000000000008</v>
      </c>
      <c r="AI11" s="20">
        <f t="shared" si="6"/>
        <v>-3.1896666666666671</v>
      </c>
      <c r="AJ11" s="20">
        <f t="shared" si="7"/>
        <v>0.32291666666665886</v>
      </c>
    </row>
    <row r="12" spans="1:45">
      <c r="B12" s="18">
        <v>1</v>
      </c>
      <c r="C12" s="18">
        <v>3</v>
      </c>
      <c r="D12" s="18">
        <f t="shared" si="0"/>
        <v>1</v>
      </c>
      <c r="E12" s="18">
        <f t="shared" si="1"/>
        <v>0</v>
      </c>
      <c r="N12" s="21">
        <v>1</v>
      </c>
      <c r="O12" s="20">
        <v>2.9990000000000001</v>
      </c>
      <c r="P12" s="20">
        <f t="shared" si="2"/>
        <v>0.9996666666666667</v>
      </c>
      <c r="Q12" s="20">
        <f t="shared" ref="Q12:Q20" si="8">100*ABS((N12-P12)/N12)</f>
        <v>3.3333333333329662E-2</v>
      </c>
      <c r="W12" s="18">
        <v>-3</v>
      </c>
      <c r="X12" s="18">
        <v>-8.9730000000000008</v>
      </c>
      <c r="Y12" s="20">
        <f t="shared" si="4"/>
        <v>-2.9910000000000001</v>
      </c>
      <c r="Z12" s="20">
        <f t="shared" si="5"/>
        <v>0.2999999999999966</v>
      </c>
      <c r="AG12" s="21">
        <v>-3</v>
      </c>
      <c r="AH12" s="22">
        <v>-8.9710000000000001</v>
      </c>
      <c r="AI12" s="20">
        <f t="shared" si="6"/>
        <v>-2.9903333333333335</v>
      </c>
      <c r="AJ12" s="20">
        <f t="shared" si="7"/>
        <v>0.3222222222222163</v>
      </c>
    </row>
    <row r="13" spans="1:45">
      <c r="B13" s="18">
        <v>2</v>
      </c>
      <c r="C13" s="18">
        <v>5.9939999999999998</v>
      </c>
      <c r="D13" s="18">
        <f t="shared" si="0"/>
        <v>1.998</v>
      </c>
      <c r="E13" s="18">
        <f t="shared" si="1"/>
        <v>0.10000000000000009</v>
      </c>
      <c r="N13" s="21">
        <v>2</v>
      </c>
      <c r="O13" s="20">
        <v>5.992</v>
      </c>
      <c r="P13" s="20">
        <f t="shared" si="2"/>
        <v>1.9973333333333334</v>
      </c>
      <c r="Q13" s="20">
        <f t="shared" si="8"/>
        <v>0.13333333333332975</v>
      </c>
      <c r="W13" s="18">
        <v>-2</v>
      </c>
      <c r="X13" s="18">
        <v>-5.98</v>
      </c>
      <c r="Y13" s="20">
        <f t="shared" si="4"/>
        <v>-1.9933333333333334</v>
      </c>
      <c r="Z13" s="20">
        <f t="shared" si="5"/>
        <v>0.33333333333332993</v>
      </c>
      <c r="AG13" s="21">
        <v>-2</v>
      </c>
      <c r="AH13" s="22">
        <v>-5.9790000000000001</v>
      </c>
      <c r="AI13" s="20">
        <f t="shared" si="6"/>
        <v>-1.9930000000000001</v>
      </c>
      <c r="AJ13" s="20">
        <f t="shared" si="7"/>
        <v>0.34999999999999476</v>
      </c>
    </row>
    <row r="14" spans="1:45">
      <c r="B14" s="18">
        <v>3</v>
      </c>
      <c r="C14" s="18">
        <v>8.9879999999999995</v>
      </c>
      <c r="D14" s="18">
        <f t="shared" si="0"/>
        <v>2.996</v>
      </c>
      <c r="E14" s="18">
        <f t="shared" si="1"/>
        <v>0.13333333333333347</v>
      </c>
      <c r="G14" t="s">
        <v>11</v>
      </c>
      <c r="H14" t="s">
        <v>12</v>
      </c>
      <c r="I14" t="s">
        <v>13</v>
      </c>
      <c r="J14" t="s">
        <v>14</v>
      </c>
      <c r="N14" s="21">
        <v>3</v>
      </c>
      <c r="O14" s="20">
        <v>8.9849999999999994</v>
      </c>
      <c r="P14" s="20">
        <f t="shared" si="2"/>
        <v>2.9949999999999997</v>
      </c>
      <c r="Q14" s="20">
        <f t="shared" si="8"/>
        <v>0.1666666666666779</v>
      </c>
      <c r="S14" t="s">
        <v>11</v>
      </c>
      <c r="T14" t="s">
        <v>12</v>
      </c>
      <c r="U14" t="s">
        <v>13</v>
      </c>
      <c r="V14" t="s">
        <v>14</v>
      </c>
      <c r="W14" s="18">
        <v>-1</v>
      </c>
      <c r="X14" s="18">
        <v>-2.9870000000000001</v>
      </c>
      <c r="Y14" s="20">
        <f t="shared" si="4"/>
        <v>-0.9956666666666667</v>
      </c>
      <c r="Z14" s="20">
        <f t="shared" si="5"/>
        <v>0.43333333333333002</v>
      </c>
      <c r="AB14" t="s">
        <v>11</v>
      </c>
      <c r="AC14" t="s">
        <v>12</v>
      </c>
      <c r="AD14" t="s">
        <v>13</v>
      </c>
      <c r="AE14" t="s">
        <v>14</v>
      </c>
      <c r="AG14" s="21">
        <v>-1</v>
      </c>
      <c r="AH14" s="22">
        <v>-2.9870000000000001</v>
      </c>
      <c r="AI14" s="20">
        <f t="shared" si="6"/>
        <v>-0.9956666666666667</v>
      </c>
      <c r="AJ14" s="20">
        <f t="shared" si="7"/>
        <v>0.43333333333333002</v>
      </c>
      <c r="AL14" t="s">
        <v>11</v>
      </c>
      <c r="AM14" t="s">
        <v>12</v>
      </c>
      <c r="AN14" t="s">
        <v>13</v>
      </c>
      <c r="AO14" t="s">
        <v>14</v>
      </c>
    </row>
    <row r="15" spans="1:45">
      <c r="B15" s="18">
        <v>4</v>
      </c>
      <c r="C15" s="18">
        <v>11.989100000000001</v>
      </c>
      <c r="D15" s="18">
        <f t="shared" si="0"/>
        <v>3.9963666666666668</v>
      </c>
      <c r="E15" s="18">
        <f t="shared" si="1"/>
        <v>9.0833333333328881E-2</v>
      </c>
      <c r="G15">
        <f>SLOPE(C4:C17,B4:B17)</f>
        <v>2.9934428566115625</v>
      </c>
      <c r="H15">
        <v>3</v>
      </c>
      <c r="I15">
        <f>INTERCEPT(C4:C17,B4:B17)</f>
        <v>6.7812243152276519E-3</v>
      </c>
      <c r="J15">
        <v>0</v>
      </c>
      <c r="N15" s="21">
        <v>4</v>
      </c>
      <c r="O15" s="20">
        <v>11.978</v>
      </c>
      <c r="P15" s="20">
        <f t="shared" si="2"/>
        <v>3.9926666666666666</v>
      </c>
      <c r="Q15" s="20">
        <f t="shared" si="8"/>
        <v>0.18333333333333535</v>
      </c>
      <c r="S15">
        <f>SLOPE(O5:O17,N5:N17)</f>
        <v>2.9929149253731344</v>
      </c>
      <c r="T15">
        <v>3</v>
      </c>
      <c r="U15">
        <f>INTERCEPT(O5:O17,N5:N17)</f>
        <v>5.9230769230769875E-3</v>
      </c>
      <c r="V15">
        <v>0</v>
      </c>
      <c r="W15" s="18">
        <v>0</v>
      </c>
      <c r="X15" s="18">
        <v>6.0000000000000001E-3</v>
      </c>
      <c r="Y15" s="20">
        <f t="shared" si="4"/>
        <v>2E-3</v>
      </c>
      <c r="Z15" s="20" t="s">
        <v>36</v>
      </c>
      <c r="AB15">
        <f>SLOPE(X5:X23,W5:W23)</f>
        <v>2.9426818811424038</v>
      </c>
      <c r="AC15">
        <v>3</v>
      </c>
      <c r="AD15">
        <f>INTERCEPT(X5:X23,W5:W23)</f>
        <v>0.11421390409603727</v>
      </c>
      <c r="AE15">
        <v>0</v>
      </c>
      <c r="AG15" s="21">
        <v>0</v>
      </c>
      <c r="AH15" s="22">
        <v>5.0000000000000001E-3</v>
      </c>
      <c r="AI15" s="20">
        <f t="shared" si="6"/>
        <v>1.6666666666666668E-3</v>
      </c>
      <c r="AJ15" s="20" t="s">
        <v>36</v>
      </c>
      <c r="AL15">
        <f>SLOPE(AH6:AH21,AG6:AG21)</f>
        <v>2.8885307467057104</v>
      </c>
      <c r="AM15">
        <v>3</v>
      </c>
      <c r="AN15">
        <f>INTERCEPT(AH6:AH21,AG6:AG21)</f>
        <v>0.19677306002928319</v>
      </c>
      <c r="AO15">
        <v>0</v>
      </c>
    </row>
    <row r="16" spans="1:45">
      <c r="B16" s="18">
        <v>4.2</v>
      </c>
      <c r="C16" s="18">
        <v>12.576000000000001</v>
      </c>
      <c r="D16" s="18">
        <f t="shared" si="0"/>
        <v>4.1920000000000002</v>
      </c>
      <c r="E16" s="18">
        <f t="shared" si="1"/>
        <v>0.19047619047619063</v>
      </c>
      <c r="G16" t="s">
        <v>15</v>
      </c>
      <c r="N16" s="21">
        <v>4.2</v>
      </c>
      <c r="O16" s="20">
        <v>12.577</v>
      </c>
      <c r="P16" s="20">
        <f t="shared" si="2"/>
        <v>4.192333333333333</v>
      </c>
      <c r="Q16" s="20">
        <f t="shared" si="8"/>
        <v>0.18253968253969416</v>
      </c>
      <c r="S16" t="s">
        <v>15</v>
      </c>
      <c r="W16" s="18">
        <v>1</v>
      </c>
      <c r="X16" s="18">
        <v>2.9990000000000001</v>
      </c>
      <c r="Y16" s="20">
        <f t="shared" si="4"/>
        <v>0.9996666666666667</v>
      </c>
      <c r="Z16" s="20">
        <f t="shared" si="5"/>
        <v>3.3333333333329662E-2</v>
      </c>
      <c r="AB16" t="s">
        <v>15</v>
      </c>
      <c r="AG16" s="21">
        <v>1</v>
      </c>
      <c r="AH16" s="22">
        <v>2.9980000000000002</v>
      </c>
      <c r="AI16" s="20">
        <f t="shared" si="6"/>
        <v>0.99933333333333341</v>
      </c>
      <c r="AJ16" s="20">
        <f t="shared" ref="AJ16:AJ28" si="9">100*ABS((AG16-AI16)/AG16)</f>
        <v>6.6666666666659324E-2</v>
      </c>
      <c r="AL16" t="s">
        <v>15</v>
      </c>
    </row>
    <row r="17" spans="2:38">
      <c r="B17" s="18">
        <v>4.4000000000000004</v>
      </c>
      <c r="C17" s="18">
        <v>13.173999999999999</v>
      </c>
      <c r="D17" s="18">
        <f t="shared" si="0"/>
        <v>4.3913333333333329</v>
      </c>
      <c r="E17" s="18">
        <f t="shared" si="1"/>
        <v>0.19696969696971564</v>
      </c>
      <c r="G17">
        <f>100*(ABS(G15-H15))/H15</f>
        <v>0.21857144628124972</v>
      </c>
      <c r="N17" s="21">
        <v>4.4000000000000004</v>
      </c>
      <c r="O17" s="20">
        <v>13.173</v>
      </c>
      <c r="P17" s="20">
        <f t="shared" si="2"/>
        <v>4.391</v>
      </c>
      <c r="Q17" s="20">
        <f t="shared" si="8"/>
        <v>0.20454545454546227</v>
      </c>
      <c r="S17">
        <f>100*(ABS(S15-T15))/T15</f>
        <v>0.23616915422885279</v>
      </c>
      <c r="W17" s="18">
        <v>2</v>
      </c>
      <c r="X17" s="18">
        <v>5.992</v>
      </c>
      <c r="Y17" s="20">
        <f t="shared" si="4"/>
        <v>1.9973333333333334</v>
      </c>
      <c r="Z17" s="20">
        <f t="shared" si="5"/>
        <v>0.13333333333332975</v>
      </c>
      <c r="AB17">
        <f>100*(ABS(AB15-AC15))/AC15</f>
        <v>1.9106039619198729</v>
      </c>
      <c r="AG17" s="21">
        <v>2</v>
      </c>
      <c r="AH17" s="22">
        <v>5.99</v>
      </c>
      <c r="AI17" s="20">
        <f t="shared" si="6"/>
        <v>1.9966666666666668</v>
      </c>
      <c r="AJ17" s="20">
        <f t="shared" si="9"/>
        <v>0.16666666666665941</v>
      </c>
      <c r="AL17">
        <f>100*(ABS(AL15-AM15))/AM15</f>
        <v>3.7156417764763194</v>
      </c>
    </row>
    <row r="18" spans="2:38">
      <c r="B18" s="18">
        <v>4.5999999999999996</v>
      </c>
      <c r="C18" s="18">
        <v>13.414</v>
      </c>
      <c r="D18" s="18">
        <f t="shared" si="0"/>
        <v>4.4713333333333329</v>
      </c>
      <c r="E18" s="18">
        <f t="shared" si="1"/>
        <v>2.7971014492753636</v>
      </c>
      <c r="N18" s="21">
        <v>4.5999999999999996</v>
      </c>
      <c r="O18" s="20">
        <v>13.227</v>
      </c>
      <c r="P18" s="20">
        <f t="shared" si="2"/>
        <v>4.4089999999999998</v>
      </c>
      <c r="Q18" s="20">
        <f t="shared" si="8"/>
        <v>4.1521739130434749</v>
      </c>
      <c r="W18" s="18">
        <v>3</v>
      </c>
      <c r="X18" s="18">
        <v>8.9849999999999994</v>
      </c>
      <c r="Y18" s="20">
        <f t="shared" si="4"/>
        <v>2.9949999999999997</v>
      </c>
      <c r="Z18" s="20">
        <f t="shared" si="5"/>
        <v>0.1666666666666779</v>
      </c>
      <c r="AG18" s="21">
        <v>3</v>
      </c>
      <c r="AH18" s="22">
        <v>8.9819999999999993</v>
      </c>
      <c r="AI18" s="20">
        <f t="shared" si="6"/>
        <v>2.9939999999999998</v>
      </c>
      <c r="AJ18" s="20">
        <f t="shared" si="9"/>
        <v>0.20000000000000759</v>
      </c>
    </row>
    <row r="19" spans="2:38">
      <c r="B19" s="18">
        <v>4.8</v>
      </c>
      <c r="C19" s="18">
        <v>13.414999999999999</v>
      </c>
      <c r="D19" s="18">
        <f t="shared" si="0"/>
        <v>4.4716666666666667</v>
      </c>
      <c r="E19" s="18">
        <f t="shared" si="1"/>
        <v>6.8402777777777741</v>
      </c>
      <c r="N19" s="21">
        <v>4.8</v>
      </c>
      <c r="O19" s="20">
        <v>13.228</v>
      </c>
      <c r="P19" s="20">
        <f t="shared" si="2"/>
        <v>4.4093333333333335</v>
      </c>
      <c r="Q19" s="20">
        <f t="shared" si="8"/>
        <v>8.1388888888888822</v>
      </c>
      <c r="W19" s="18">
        <v>3.2</v>
      </c>
      <c r="X19" s="18">
        <v>9.5809999999999995</v>
      </c>
      <c r="Y19" s="20">
        <f t="shared" si="4"/>
        <v>3.1936666666666667</v>
      </c>
      <c r="Z19" s="20">
        <f t="shared" si="5"/>
        <v>0.19791666666667262</v>
      </c>
      <c r="AG19" s="21">
        <v>3.2</v>
      </c>
      <c r="AH19" s="22">
        <v>9.58</v>
      </c>
      <c r="AI19" s="20">
        <f t="shared" si="6"/>
        <v>3.1933333333333334</v>
      </c>
      <c r="AJ19" s="20">
        <f t="shared" si="9"/>
        <v>0.20833333333333814</v>
      </c>
    </row>
    <row r="20" spans="2:38">
      <c r="B20" s="18">
        <v>5</v>
      </c>
      <c r="C20" s="18">
        <v>13.416</v>
      </c>
      <c r="D20" s="18">
        <f t="shared" si="0"/>
        <v>4.4720000000000004</v>
      </c>
      <c r="E20" s="18">
        <f t="shared" si="1"/>
        <v>10.559999999999992</v>
      </c>
      <c r="N20" s="21">
        <v>5</v>
      </c>
      <c r="O20" s="20">
        <v>13.228</v>
      </c>
      <c r="P20" s="20">
        <f t="shared" si="2"/>
        <v>4.4093333333333335</v>
      </c>
      <c r="Q20" s="20">
        <f t="shared" si="8"/>
        <v>11.813333333333329</v>
      </c>
      <c r="W20" s="18">
        <v>3.4</v>
      </c>
      <c r="X20" s="18">
        <v>10.18</v>
      </c>
      <c r="Y20" s="20">
        <f t="shared" si="4"/>
        <v>3.3933333333333331</v>
      </c>
      <c r="Z20" s="20">
        <f t="shared" si="5"/>
        <v>0.19607843137255357</v>
      </c>
      <c r="AG20" s="21">
        <v>3.4</v>
      </c>
      <c r="AH20" s="22">
        <v>10.179</v>
      </c>
      <c r="AI20" s="20">
        <f t="shared" si="6"/>
        <v>3.3930000000000002</v>
      </c>
      <c r="AJ20" s="20">
        <f t="shared" si="9"/>
        <v>0.20588235294116686</v>
      </c>
    </row>
    <row r="21" spans="2:38">
      <c r="D21">
        <f t="shared" ref="D21:D33" si="10">(20*(10^3)*B21+(10^4)*C21)/(20*(10^3)+(10^4))</f>
        <v>0</v>
      </c>
      <c r="E21">
        <v>0</v>
      </c>
      <c r="W21" s="18">
        <v>3.6</v>
      </c>
      <c r="X21" s="18">
        <v>10.779</v>
      </c>
      <c r="Y21" s="20">
        <f t="shared" si="4"/>
        <v>3.593</v>
      </c>
      <c r="Z21" s="20">
        <f t="shared" si="5"/>
        <v>0.19444444444444769</v>
      </c>
      <c r="AG21" s="21">
        <v>3.6</v>
      </c>
      <c r="AH21" s="22">
        <v>10.776999999999999</v>
      </c>
      <c r="AI21" s="20">
        <f t="shared" si="6"/>
        <v>3.5923333333333329</v>
      </c>
      <c r="AJ21" s="20">
        <f t="shared" si="9"/>
        <v>0.21296296296297651</v>
      </c>
    </row>
    <row r="22" spans="2:38">
      <c r="D22">
        <f t="shared" si="10"/>
        <v>0</v>
      </c>
      <c r="E22">
        <v>0</v>
      </c>
      <c r="W22" s="18">
        <v>3.8</v>
      </c>
      <c r="X22" s="18">
        <v>11.377000000000001</v>
      </c>
      <c r="Y22" s="20">
        <f t="shared" si="4"/>
        <v>3.7923333333333336</v>
      </c>
      <c r="Z22" s="20">
        <f t="shared" si="5"/>
        <v>0.20175438596490175</v>
      </c>
      <c r="AG22" s="21">
        <v>3.8</v>
      </c>
      <c r="AH22" s="22">
        <v>11.375999999999999</v>
      </c>
      <c r="AI22" s="20">
        <f t="shared" si="6"/>
        <v>3.7919999999999998</v>
      </c>
      <c r="AJ22" s="20">
        <f t="shared" si="9"/>
        <v>0.21052631578947389</v>
      </c>
    </row>
    <row r="23" spans="2:38">
      <c r="D23">
        <f t="shared" si="10"/>
        <v>0</v>
      </c>
      <c r="E23">
        <v>0</v>
      </c>
      <c r="W23" s="18">
        <v>4</v>
      </c>
      <c r="X23" s="18">
        <v>11.977</v>
      </c>
      <c r="Y23" s="20">
        <f t="shared" si="4"/>
        <v>3.9923333333333333</v>
      </c>
      <c r="Z23" s="20">
        <f t="shared" si="5"/>
        <v>0.19166666666666776</v>
      </c>
      <c r="AG23" s="21">
        <v>4</v>
      </c>
      <c r="AH23" s="22">
        <v>11.974</v>
      </c>
      <c r="AI23" s="20">
        <f t="shared" si="6"/>
        <v>3.9913333333333334</v>
      </c>
      <c r="AJ23" s="20">
        <f t="shared" si="9"/>
        <v>0.21666666666666501</v>
      </c>
      <c r="AL23" t="s">
        <v>16</v>
      </c>
    </row>
    <row r="24" spans="2:38">
      <c r="D24">
        <f t="shared" si="10"/>
        <v>0</v>
      </c>
      <c r="E24">
        <v>0</v>
      </c>
      <c r="W24" s="18">
        <v>4.2</v>
      </c>
      <c r="X24" s="18">
        <v>12.574999999999999</v>
      </c>
      <c r="Y24" s="20">
        <f t="shared" si="4"/>
        <v>4.1916666666666664</v>
      </c>
      <c r="Z24" s="20">
        <f t="shared" si="5"/>
        <v>0.19841269841270828</v>
      </c>
      <c r="AG24" s="21">
        <v>4.2</v>
      </c>
      <c r="AH24" s="22">
        <v>12.372999999999999</v>
      </c>
      <c r="AI24" s="20">
        <f t="shared" si="6"/>
        <v>4.1243333333333334</v>
      </c>
      <c r="AJ24" s="20">
        <f t="shared" si="9"/>
        <v>1.8015873015873041</v>
      </c>
    </row>
    <row r="25" spans="2:38">
      <c r="D25">
        <f t="shared" si="10"/>
        <v>0</v>
      </c>
      <c r="E25">
        <v>0</v>
      </c>
      <c r="W25" s="18">
        <v>4.4000000000000004</v>
      </c>
      <c r="X25" s="18">
        <v>12.750999999999999</v>
      </c>
      <c r="Y25" s="20">
        <f t="shared" si="4"/>
        <v>4.2503333333333329</v>
      </c>
      <c r="Z25" s="20">
        <f t="shared" si="5"/>
        <v>3.40151515151517</v>
      </c>
      <c r="AG25" s="21">
        <v>4.4000000000000004</v>
      </c>
      <c r="AH25" s="22">
        <v>12.374000000000001</v>
      </c>
      <c r="AI25" s="20">
        <f t="shared" si="6"/>
        <v>4.1246666666666671</v>
      </c>
      <c r="AJ25" s="20">
        <f t="shared" si="9"/>
        <v>6.2575757575757551</v>
      </c>
    </row>
    <row r="26" spans="2:38">
      <c r="D26">
        <f t="shared" si="10"/>
        <v>0</v>
      </c>
      <c r="E26">
        <v>0</v>
      </c>
      <c r="W26" s="18">
        <v>4.5999999999999996</v>
      </c>
      <c r="X26" s="18">
        <v>12.752000000000001</v>
      </c>
      <c r="Y26" s="20">
        <f t="shared" si="4"/>
        <v>4.2506666666666666</v>
      </c>
      <c r="Z26" s="20">
        <f t="shared" si="5"/>
        <v>7.5942028985507184</v>
      </c>
      <c r="AG26" s="21">
        <v>4.5999999999999996</v>
      </c>
      <c r="AH26" s="22">
        <v>12.375999999999999</v>
      </c>
      <c r="AI26" s="20">
        <f t="shared" si="6"/>
        <v>4.1253333333333329</v>
      </c>
      <c r="AJ26" s="20">
        <f t="shared" si="9"/>
        <v>10.318840579710148</v>
      </c>
    </row>
    <row r="27" spans="2:38">
      <c r="D27">
        <f t="shared" si="10"/>
        <v>0</v>
      </c>
      <c r="E27">
        <v>0</v>
      </c>
      <c r="W27" s="18">
        <v>4.8</v>
      </c>
      <c r="X27" s="18">
        <v>12.752000000000001</v>
      </c>
      <c r="Y27" s="20">
        <f t="shared" si="4"/>
        <v>4.2506666666666666</v>
      </c>
      <c r="Z27" s="20">
        <f t="shared" si="5"/>
        <v>11.444444444444443</v>
      </c>
      <c r="AG27" s="21">
        <v>4.8</v>
      </c>
      <c r="AH27" s="22">
        <v>12.377000000000001</v>
      </c>
      <c r="AI27" s="20">
        <f t="shared" si="6"/>
        <v>4.1256666666666666</v>
      </c>
      <c r="AJ27" s="20">
        <f t="shared" si="9"/>
        <v>14.048611111111109</v>
      </c>
    </row>
    <row r="28" spans="2:38">
      <c r="D28">
        <f t="shared" si="10"/>
        <v>0</v>
      </c>
      <c r="E28">
        <v>0</v>
      </c>
      <c r="W28" s="18">
        <v>5</v>
      </c>
      <c r="X28" s="18">
        <v>12.753</v>
      </c>
      <c r="Y28" s="20">
        <f t="shared" si="4"/>
        <v>4.2510000000000003</v>
      </c>
      <c r="Z28" s="20">
        <f t="shared" si="5"/>
        <v>14.979999999999993</v>
      </c>
      <c r="AG28" s="21">
        <v>5</v>
      </c>
      <c r="AH28" s="22">
        <v>12.377000000000001</v>
      </c>
      <c r="AI28" s="20">
        <f t="shared" si="6"/>
        <v>4.1256666666666666</v>
      </c>
      <c r="AJ28" s="20">
        <f t="shared" si="9"/>
        <v>17.486666666666668</v>
      </c>
    </row>
    <row r="29" spans="2:38">
      <c r="D29">
        <f t="shared" si="10"/>
        <v>0</v>
      </c>
      <c r="E29">
        <v>0</v>
      </c>
    </row>
    <row r="30" spans="2:38">
      <c r="D30">
        <f t="shared" si="10"/>
        <v>0</v>
      </c>
      <c r="E30">
        <v>0</v>
      </c>
    </row>
    <row r="31" spans="2:38">
      <c r="D31">
        <f t="shared" si="10"/>
        <v>0</v>
      </c>
      <c r="E31">
        <v>0</v>
      </c>
    </row>
    <row r="32" spans="2:38">
      <c r="D32">
        <f t="shared" si="10"/>
        <v>0</v>
      </c>
      <c r="E32">
        <v>0</v>
      </c>
    </row>
    <row r="33" spans="4:5">
      <c r="D33">
        <f t="shared" si="10"/>
        <v>0</v>
      </c>
      <c r="E33">
        <v>0</v>
      </c>
    </row>
    <row r="34" spans="4:5">
      <c r="D34">
        <f t="shared" ref="D34:D50" si="11">(20*(10^3)*B34+(10^4)*C34)/(20*(10^3)+(10^4))</f>
        <v>0</v>
      </c>
      <c r="E34">
        <v>0</v>
      </c>
    </row>
    <row r="35" spans="4:5">
      <c r="D35">
        <f t="shared" si="11"/>
        <v>0</v>
      </c>
      <c r="E35">
        <v>0</v>
      </c>
    </row>
    <row r="36" spans="4:5">
      <c r="D36">
        <f t="shared" si="11"/>
        <v>0</v>
      </c>
      <c r="E36">
        <v>0</v>
      </c>
    </row>
    <row r="37" spans="4:5">
      <c r="D37">
        <f t="shared" si="11"/>
        <v>0</v>
      </c>
      <c r="E37">
        <v>0</v>
      </c>
    </row>
    <row r="38" spans="4:5">
      <c r="D38">
        <f t="shared" si="11"/>
        <v>0</v>
      </c>
      <c r="E38">
        <v>0</v>
      </c>
    </row>
    <row r="39" spans="4:5">
      <c r="D39">
        <f t="shared" si="11"/>
        <v>0</v>
      </c>
      <c r="E39">
        <v>0</v>
      </c>
    </row>
    <row r="40" spans="4:5">
      <c r="D40">
        <f t="shared" si="11"/>
        <v>0</v>
      </c>
      <c r="E40">
        <v>0</v>
      </c>
    </row>
    <row r="41" spans="4:5">
      <c r="D41">
        <f t="shared" si="11"/>
        <v>0</v>
      </c>
      <c r="E41">
        <v>0</v>
      </c>
    </row>
    <row r="42" spans="4:5">
      <c r="D42">
        <f t="shared" si="11"/>
        <v>0</v>
      </c>
      <c r="E42">
        <v>0</v>
      </c>
    </row>
    <row r="43" spans="4:5">
      <c r="D43">
        <f t="shared" si="11"/>
        <v>0</v>
      </c>
      <c r="E43">
        <v>0</v>
      </c>
    </row>
    <row r="44" spans="4:5">
      <c r="D44">
        <f t="shared" si="11"/>
        <v>0</v>
      </c>
      <c r="E44">
        <v>0</v>
      </c>
    </row>
    <row r="45" spans="4:5">
      <c r="D45">
        <f t="shared" si="11"/>
        <v>0</v>
      </c>
      <c r="E45">
        <v>0</v>
      </c>
    </row>
    <row r="46" spans="4:5">
      <c r="D46">
        <f t="shared" si="11"/>
        <v>0</v>
      </c>
      <c r="E46">
        <v>0</v>
      </c>
    </row>
    <row r="47" spans="4:5">
      <c r="D47">
        <f t="shared" si="11"/>
        <v>0</v>
      </c>
      <c r="E47">
        <v>0</v>
      </c>
    </row>
    <row r="48" spans="4:5">
      <c r="D48">
        <f t="shared" si="11"/>
        <v>0</v>
      </c>
      <c r="E48">
        <v>0</v>
      </c>
    </row>
    <row r="49" spans="4:5">
      <c r="D49">
        <f t="shared" si="11"/>
        <v>0</v>
      </c>
      <c r="E49">
        <v>0</v>
      </c>
    </row>
    <row r="50" spans="4:5">
      <c r="D50">
        <f t="shared" si="11"/>
        <v>0</v>
      </c>
      <c r="E50">
        <v>0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83D50-748B-4D12-B700-070F127F1089}">
  <dimension ref="A1:AF50"/>
  <sheetViews>
    <sheetView topLeftCell="W1" zoomScaleNormal="100" workbookViewId="0">
      <selection activeCell="Y11" sqref="Y11"/>
    </sheetView>
  </sheetViews>
  <sheetFormatPr baseColWidth="10" defaultColWidth="11.5703125" defaultRowHeight="20"/>
  <cols>
    <col min="4" max="4" width="24" bestFit="1" customWidth="1"/>
  </cols>
  <sheetData>
    <row r="1" spans="1:32" ht="22">
      <c r="A1" t="s">
        <v>0</v>
      </c>
      <c r="B1" s="18" t="s">
        <v>1</v>
      </c>
      <c r="C1" s="18" t="s">
        <v>2</v>
      </c>
      <c r="D1" t="s">
        <v>3</v>
      </c>
      <c r="E1" t="s">
        <v>4</v>
      </c>
      <c r="M1" t="s">
        <v>19</v>
      </c>
      <c r="N1" s="18" t="s">
        <v>7</v>
      </c>
      <c r="O1" s="18" t="s">
        <v>8</v>
      </c>
      <c r="W1" t="s">
        <v>21</v>
      </c>
    </row>
    <row r="2" spans="1:32">
      <c r="A2" t="s">
        <v>10</v>
      </c>
      <c r="B2" s="18">
        <v>-10</v>
      </c>
      <c r="C2" s="18">
        <v>-10</v>
      </c>
      <c r="D2">
        <f t="shared" ref="D2:D33" si="0">(20*(10^3)*B2+(10^4)*C2)/(20*(10^3)+(10^4))</f>
        <v>-10</v>
      </c>
      <c r="E2">
        <v>0</v>
      </c>
      <c r="N2" s="18">
        <v>-10</v>
      </c>
      <c r="O2" s="18">
        <v>-10</v>
      </c>
      <c r="W2">
        <f>750*(O2-C2)/O2</f>
        <v>0</v>
      </c>
      <c r="X2" s="3">
        <f>AVERAGE(W2:W22)</f>
        <v>-5.949406249253027E-3</v>
      </c>
      <c r="AB2" s="29" t="s">
        <v>37</v>
      </c>
      <c r="AC2" s="29"/>
      <c r="AD2" s="29" t="s">
        <v>40</v>
      </c>
      <c r="AE2" s="29"/>
      <c r="AF2" s="29" t="s">
        <v>43</v>
      </c>
    </row>
    <row r="3" spans="1:32">
      <c r="B3" s="18">
        <v>-9</v>
      </c>
      <c r="C3" s="18">
        <v>-9</v>
      </c>
      <c r="D3">
        <f t="shared" si="0"/>
        <v>-9</v>
      </c>
      <c r="E3">
        <v>0</v>
      </c>
      <c r="N3" s="18">
        <v>-9</v>
      </c>
      <c r="O3" s="18">
        <v>-9</v>
      </c>
      <c r="W3">
        <f t="shared" ref="W3:W22" si="1">750*(O3-C3)/O3</f>
        <v>0</v>
      </c>
      <c r="AB3" s="18" t="s">
        <v>1</v>
      </c>
      <c r="AC3" s="18" t="s">
        <v>2</v>
      </c>
      <c r="AD3" s="18" t="s">
        <v>7</v>
      </c>
      <c r="AE3" s="18" t="s">
        <v>8</v>
      </c>
      <c r="AF3" s="29"/>
    </row>
    <row r="4" spans="1:32">
      <c r="B4" s="18">
        <v>-8</v>
      </c>
      <c r="C4" s="18">
        <v>-8</v>
      </c>
      <c r="D4">
        <f t="shared" si="0"/>
        <v>-8</v>
      </c>
      <c r="E4">
        <v>0</v>
      </c>
      <c r="N4" s="18">
        <v>-8</v>
      </c>
      <c r="O4" s="18">
        <v>-8</v>
      </c>
      <c r="W4">
        <f t="shared" si="1"/>
        <v>0</v>
      </c>
      <c r="AB4" s="18">
        <v>-10</v>
      </c>
      <c r="AC4" s="18">
        <v>-10</v>
      </c>
      <c r="AD4" s="18">
        <v>-10</v>
      </c>
      <c r="AE4" s="18">
        <v>-10</v>
      </c>
      <c r="AF4" s="18">
        <f>750*(O2-C2)/O2</f>
        <v>0</v>
      </c>
    </row>
    <row r="5" spans="1:32">
      <c r="B5" s="18">
        <v>-7</v>
      </c>
      <c r="C5" s="18">
        <v>-7</v>
      </c>
      <c r="D5">
        <f t="shared" si="0"/>
        <v>-7</v>
      </c>
      <c r="E5">
        <v>0</v>
      </c>
      <c r="N5" s="18">
        <v>-7</v>
      </c>
      <c r="O5" s="18">
        <v>-7</v>
      </c>
      <c r="W5">
        <f t="shared" si="1"/>
        <v>0</v>
      </c>
      <c r="AB5" s="18">
        <v>-9</v>
      </c>
      <c r="AC5" s="18">
        <v>-9</v>
      </c>
      <c r="AD5" s="18">
        <v>-9</v>
      </c>
      <c r="AE5" s="18">
        <v>-9</v>
      </c>
      <c r="AF5" s="18">
        <f t="shared" ref="AF5:AF24" si="2">750*(O3-C3)/O3</f>
        <v>0</v>
      </c>
    </row>
    <row r="6" spans="1:32">
      <c r="B6" s="18">
        <v>-6</v>
      </c>
      <c r="C6" s="18">
        <v>-5.9989999999999997</v>
      </c>
      <c r="D6">
        <f t="shared" si="0"/>
        <v>-5.9996666666666663</v>
      </c>
      <c r="E6">
        <v>0</v>
      </c>
      <c r="N6" s="18">
        <v>-6</v>
      </c>
      <c r="O6" s="18">
        <v>-5.9989999999999997</v>
      </c>
      <c r="W6">
        <f t="shared" si="1"/>
        <v>0</v>
      </c>
      <c r="AB6" s="18">
        <v>-8</v>
      </c>
      <c r="AC6" s="18">
        <v>-8</v>
      </c>
      <c r="AD6" s="18">
        <v>-8</v>
      </c>
      <c r="AE6" s="18">
        <v>-8</v>
      </c>
      <c r="AF6" s="18">
        <f t="shared" si="2"/>
        <v>0</v>
      </c>
    </row>
    <row r="7" spans="1:32">
      <c r="B7" s="18">
        <v>-5</v>
      </c>
      <c r="C7" s="18">
        <v>-4.9989999999999997</v>
      </c>
      <c r="D7">
        <f t="shared" si="0"/>
        <v>-4.9996666666666663</v>
      </c>
      <c r="E7">
        <v>0</v>
      </c>
      <c r="N7" s="18">
        <v>-5</v>
      </c>
      <c r="O7" s="18">
        <v>-4.9989999999999997</v>
      </c>
      <c r="W7">
        <f t="shared" si="1"/>
        <v>0</v>
      </c>
      <c r="AB7" s="18">
        <v>-7</v>
      </c>
      <c r="AC7" s="18">
        <v>-7</v>
      </c>
      <c r="AD7" s="18">
        <v>-7</v>
      </c>
      <c r="AE7" s="18">
        <v>-7</v>
      </c>
      <c r="AF7" s="18">
        <f t="shared" si="2"/>
        <v>0</v>
      </c>
    </row>
    <row r="8" spans="1:32">
      <c r="B8" s="18">
        <v>-4</v>
      </c>
      <c r="C8" s="18">
        <v>-3.9990000000000001</v>
      </c>
      <c r="D8">
        <f t="shared" si="0"/>
        <v>-3.9996666666666667</v>
      </c>
      <c r="E8">
        <v>0</v>
      </c>
      <c r="N8" s="18">
        <v>-4</v>
      </c>
      <c r="O8" s="18">
        <v>-3.9990000000000001</v>
      </c>
      <c r="W8">
        <f t="shared" si="1"/>
        <v>0</v>
      </c>
      <c r="AB8" s="18">
        <v>-6</v>
      </c>
      <c r="AC8" s="18">
        <v>-5.9989999999999997</v>
      </c>
      <c r="AD8" s="18">
        <v>-6</v>
      </c>
      <c r="AE8" s="18">
        <v>-5.9989999999999997</v>
      </c>
      <c r="AF8" s="18">
        <f t="shared" si="2"/>
        <v>0</v>
      </c>
    </row>
    <row r="9" spans="1:32">
      <c r="B9" s="18">
        <v>-3</v>
      </c>
      <c r="C9" s="18">
        <v>-2.9990000000000001</v>
      </c>
      <c r="D9">
        <f t="shared" si="0"/>
        <v>-2.9996666666666667</v>
      </c>
      <c r="E9">
        <v>0</v>
      </c>
      <c r="N9" s="18">
        <v>-3</v>
      </c>
      <c r="O9" s="18">
        <v>-2.9990000000000001</v>
      </c>
      <c r="W9">
        <f t="shared" si="1"/>
        <v>0</v>
      </c>
      <c r="AB9" s="18">
        <v>-5</v>
      </c>
      <c r="AC9" s="18">
        <v>-4.9989999999999997</v>
      </c>
      <c r="AD9" s="18">
        <v>-5</v>
      </c>
      <c r="AE9" s="18">
        <v>-4.9989999999999997</v>
      </c>
      <c r="AF9" s="18">
        <f t="shared" si="2"/>
        <v>0</v>
      </c>
    </row>
    <row r="10" spans="1:32">
      <c r="B10" s="18">
        <v>-2</v>
      </c>
      <c r="C10" s="18">
        <v>-1.998</v>
      </c>
      <c r="D10">
        <f t="shared" si="0"/>
        <v>-1.9993333333333334</v>
      </c>
      <c r="E10">
        <v>0</v>
      </c>
      <c r="N10" s="18">
        <v>-2</v>
      </c>
      <c r="O10" s="18">
        <v>-1.998</v>
      </c>
      <c r="W10">
        <f t="shared" si="1"/>
        <v>0</v>
      </c>
      <c r="AB10" s="18">
        <v>-4</v>
      </c>
      <c r="AC10" s="18">
        <v>-3.9990000000000001</v>
      </c>
      <c r="AD10" s="18">
        <v>-4</v>
      </c>
      <c r="AE10" s="18">
        <v>-3.9990000000000001</v>
      </c>
      <c r="AF10" s="18">
        <f t="shared" si="2"/>
        <v>0</v>
      </c>
    </row>
    <row r="11" spans="1:32">
      <c r="B11" s="18">
        <v>-1</v>
      </c>
      <c r="C11" s="18">
        <v>-0.998</v>
      </c>
      <c r="D11">
        <f t="shared" si="0"/>
        <v>-0.9993333333333333</v>
      </c>
      <c r="E11">
        <v>0</v>
      </c>
      <c r="N11" s="18">
        <v>-1</v>
      </c>
      <c r="O11" s="18">
        <v>-0.998</v>
      </c>
      <c r="W11">
        <f t="shared" si="1"/>
        <v>0</v>
      </c>
      <c r="AB11" s="18">
        <v>-3</v>
      </c>
      <c r="AC11" s="18">
        <v>-2.9990000000000001</v>
      </c>
      <c r="AD11" s="18">
        <v>-3</v>
      </c>
      <c r="AE11" s="18">
        <v>-2.9990000000000001</v>
      </c>
      <c r="AF11" s="18">
        <f t="shared" si="2"/>
        <v>0</v>
      </c>
    </row>
    <row r="12" spans="1:32">
      <c r="B12" s="18">
        <v>0</v>
      </c>
      <c r="C12" s="18">
        <v>2E-3</v>
      </c>
      <c r="D12">
        <f t="shared" si="0"/>
        <v>6.6666666666666664E-4</v>
      </c>
      <c r="E12">
        <v>0</v>
      </c>
      <c r="N12" s="18">
        <v>0</v>
      </c>
      <c r="O12" s="18">
        <v>2E-3</v>
      </c>
      <c r="W12">
        <f t="shared" si="1"/>
        <v>0</v>
      </c>
      <c r="AB12" s="18">
        <v>-2</v>
      </c>
      <c r="AC12" s="18">
        <v>-1.998</v>
      </c>
      <c r="AD12" s="18">
        <v>-2</v>
      </c>
      <c r="AE12" s="18">
        <v>-1.998</v>
      </c>
      <c r="AF12" s="18">
        <f t="shared" si="2"/>
        <v>0</v>
      </c>
    </row>
    <row r="13" spans="1:32">
      <c r="B13" s="18">
        <v>1</v>
      </c>
      <c r="C13" s="18">
        <v>1.002</v>
      </c>
      <c r="D13">
        <f t="shared" si="0"/>
        <v>1.0006666666666666</v>
      </c>
      <c r="E13">
        <v>0</v>
      </c>
      <c r="N13" s="18">
        <v>1</v>
      </c>
      <c r="O13" s="18">
        <v>1.002</v>
      </c>
      <c r="W13">
        <f t="shared" si="1"/>
        <v>0</v>
      </c>
      <c r="AB13" s="18">
        <v>-1</v>
      </c>
      <c r="AC13" s="18">
        <v>-0.998</v>
      </c>
      <c r="AD13" s="18">
        <v>-1</v>
      </c>
      <c r="AE13" s="18">
        <v>-0.998</v>
      </c>
      <c r="AF13" s="18">
        <f t="shared" si="2"/>
        <v>0</v>
      </c>
    </row>
    <row r="14" spans="1:32">
      <c r="B14" s="18">
        <v>2</v>
      </c>
      <c r="C14" s="18">
        <v>2.0030000000000001</v>
      </c>
      <c r="D14">
        <f t="shared" si="0"/>
        <v>2.0009999999999999</v>
      </c>
      <c r="E14">
        <v>0</v>
      </c>
      <c r="G14" t="s">
        <v>11</v>
      </c>
      <c r="H14" t="s">
        <v>12</v>
      </c>
      <c r="I14" t="s">
        <v>13</v>
      </c>
      <c r="J14" t="s">
        <v>14</v>
      </c>
      <c r="N14" s="18">
        <v>2</v>
      </c>
      <c r="O14" s="18">
        <v>2.0030000000000001</v>
      </c>
      <c r="W14">
        <f t="shared" si="1"/>
        <v>0</v>
      </c>
      <c r="AB14" s="18">
        <v>0</v>
      </c>
      <c r="AC14" s="18">
        <v>2E-3</v>
      </c>
      <c r="AD14" s="18">
        <v>0</v>
      </c>
      <c r="AE14" s="18">
        <v>2E-3</v>
      </c>
      <c r="AF14" s="18">
        <f t="shared" si="2"/>
        <v>0</v>
      </c>
    </row>
    <row r="15" spans="1:32">
      <c r="B15" s="18">
        <v>3</v>
      </c>
      <c r="C15" s="18">
        <v>3.0030000000000001</v>
      </c>
      <c r="D15">
        <f t="shared" si="0"/>
        <v>3.0009999999999999</v>
      </c>
      <c r="E15">
        <v>0</v>
      </c>
      <c r="G15">
        <f>SLOPE(C2:C50,B2:B50)</f>
        <v>1.0002337662337661</v>
      </c>
      <c r="H15">
        <v>-2</v>
      </c>
      <c r="I15">
        <f>INTERCEPT(C2:C50,B2:B50)</f>
        <v>2.09523809523778E-3</v>
      </c>
      <c r="J15">
        <v>0</v>
      </c>
      <c r="N15" s="18">
        <v>3</v>
      </c>
      <c r="O15" s="18">
        <v>3.0030000000000001</v>
      </c>
      <c r="W15">
        <f t="shared" si="1"/>
        <v>0</v>
      </c>
      <c r="AB15" s="18">
        <v>1</v>
      </c>
      <c r="AC15" s="18">
        <v>1.002</v>
      </c>
      <c r="AD15" s="18">
        <v>1</v>
      </c>
      <c r="AE15" s="18">
        <v>1.002</v>
      </c>
      <c r="AF15" s="18">
        <f t="shared" si="2"/>
        <v>0</v>
      </c>
    </row>
    <row r="16" spans="1:32">
      <c r="B16" s="18">
        <v>4</v>
      </c>
      <c r="C16" s="18">
        <v>4.0030000000000001</v>
      </c>
      <c r="D16">
        <f t="shared" si="0"/>
        <v>4.0010000000000003</v>
      </c>
      <c r="E16">
        <v>0</v>
      </c>
      <c r="G16" t="s">
        <v>15</v>
      </c>
      <c r="N16" s="18">
        <v>4</v>
      </c>
      <c r="O16" s="18">
        <v>4.0030000000000001</v>
      </c>
      <c r="Q16" t="s">
        <v>16</v>
      </c>
      <c r="W16">
        <f t="shared" si="1"/>
        <v>0</v>
      </c>
      <c r="AB16" s="18">
        <v>2</v>
      </c>
      <c r="AC16" s="18">
        <v>2.0030000000000001</v>
      </c>
      <c r="AD16" s="18">
        <v>2</v>
      </c>
      <c r="AE16" s="18">
        <v>2.0030000000000001</v>
      </c>
      <c r="AF16" s="18">
        <f t="shared" si="2"/>
        <v>0</v>
      </c>
    </row>
    <row r="17" spans="2:32">
      <c r="B17" s="18">
        <v>5</v>
      </c>
      <c r="C17" s="18">
        <v>5.0030000000000001</v>
      </c>
      <c r="D17">
        <f t="shared" si="0"/>
        <v>5.0010000000000003</v>
      </c>
      <c r="E17">
        <v>0</v>
      </c>
      <c r="G17">
        <f>100*(ABS(G15-H15))/H15</f>
        <v>-150.01168831168829</v>
      </c>
      <c r="N17" s="18">
        <v>5</v>
      </c>
      <c r="O17" s="18">
        <v>5.0030000000000001</v>
      </c>
      <c r="W17">
        <f t="shared" si="1"/>
        <v>0</v>
      </c>
      <c r="AB17" s="18">
        <v>3</v>
      </c>
      <c r="AC17" s="18">
        <v>3.0030000000000001</v>
      </c>
      <c r="AD17" s="18">
        <v>3</v>
      </c>
      <c r="AE17" s="18">
        <v>3.0030000000000001</v>
      </c>
      <c r="AF17" s="18">
        <f t="shared" si="2"/>
        <v>0</v>
      </c>
    </row>
    <row r="18" spans="2:32">
      <c r="B18" s="18">
        <v>6</v>
      </c>
      <c r="C18" s="18">
        <v>6.0039999999999996</v>
      </c>
      <c r="D18">
        <f t="shared" si="0"/>
        <v>6.0013333333333332</v>
      </c>
      <c r="E18">
        <v>0</v>
      </c>
      <c r="N18" s="18">
        <v>6</v>
      </c>
      <c r="O18" s="18">
        <v>6.0030000000000001</v>
      </c>
      <c r="W18">
        <f t="shared" si="1"/>
        <v>-0.12493753123431356</v>
      </c>
      <c r="AB18" s="18">
        <v>4</v>
      </c>
      <c r="AC18" s="18">
        <v>4.0030000000000001</v>
      </c>
      <c r="AD18" s="18">
        <v>4</v>
      </c>
      <c r="AE18" s="18">
        <v>4.0030000000000001</v>
      </c>
      <c r="AF18" s="18">
        <f t="shared" si="2"/>
        <v>0</v>
      </c>
    </row>
    <row r="19" spans="2:32">
      <c r="B19" s="18">
        <v>7</v>
      </c>
      <c r="C19" s="18">
        <v>7.0039999999999996</v>
      </c>
      <c r="D19">
        <f t="shared" si="0"/>
        <v>7.0013333333333332</v>
      </c>
      <c r="E19">
        <v>0</v>
      </c>
      <c r="N19" s="18">
        <v>7</v>
      </c>
      <c r="O19" s="18">
        <v>7.0039999999999996</v>
      </c>
      <c r="W19">
        <f t="shared" si="1"/>
        <v>0</v>
      </c>
      <c r="AB19" s="18">
        <v>5</v>
      </c>
      <c r="AC19" s="18">
        <v>5.0030000000000001</v>
      </c>
      <c r="AD19" s="18">
        <v>5</v>
      </c>
      <c r="AE19" s="18">
        <v>5.0030000000000001</v>
      </c>
      <c r="AF19" s="18">
        <f t="shared" si="2"/>
        <v>0</v>
      </c>
    </row>
    <row r="20" spans="2:32">
      <c r="B20" s="18">
        <v>8</v>
      </c>
      <c r="C20" s="18">
        <v>8.0039999999999996</v>
      </c>
      <c r="D20">
        <f t="shared" si="0"/>
        <v>8.0013333333333332</v>
      </c>
      <c r="E20">
        <v>0</v>
      </c>
      <c r="N20" s="18">
        <v>8</v>
      </c>
      <c r="O20" s="18">
        <v>8.0039999999999996</v>
      </c>
      <c r="W20">
        <f t="shared" si="1"/>
        <v>0</v>
      </c>
      <c r="AB20" s="18">
        <v>6</v>
      </c>
      <c r="AC20" s="18">
        <v>6.0039999999999996</v>
      </c>
      <c r="AD20" s="18">
        <v>6</v>
      </c>
      <c r="AE20" s="18">
        <v>6.0030000000000001</v>
      </c>
      <c r="AF20" s="18">
        <f t="shared" si="2"/>
        <v>-0.12493753123431356</v>
      </c>
    </row>
    <row r="21" spans="2:32">
      <c r="B21" s="18">
        <v>9</v>
      </c>
      <c r="C21" s="18">
        <v>9.0039999999999996</v>
      </c>
      <c r="D21">
        <f t="shared" si="0"/>
        <v>9.0013333333333332</v>
      </c>
      <c r="E21">
        <v>0</v>
      </c>
      <c r="N21" s="18">
        <v>9</v>
      </c>
      <c r="O21" s="18">
        <v>9.0039999999999996</v>
      </c>
      <c r="W21">
        <f t="shared" si="1"/>
        <v>0</v>
      </c>
      <c r="AB21" s="18">
        <v>7</v>
      </c>
      <c r="AC21" s="18">
        <v>7.0039999999999996</v>
      </c>
      <c r="AD21" s="18">
        <v>7</v>
      </c>
      <c r="AE21" s="18">
        <v>7.0039999999999996</v>
      </c>
      <c r="AF21" s="18">
        <f t="shared" si="2"/>
        <v>0</v>
      </c>
    </row>
    <row r="22" spans="2:32">
      <c r="B22" s="18">
        <v>10</v>
      </c>
      <c r="C22" s="18">
        <v>10.004</v>
      </c>
      <c r="D22">
        <f t="shared" si="0"/>
        <v>10.001333333333333</v>
      </c>
      <c r="E22">
        <v>0</v>
      </c>
      <c r="N22" s="18">
        <v>10</v>
      </c>
      <c r="O22" s="18">
        <v>10.004</v>
      </c>
      <c r="W22">
        <f t="shared" si="1"/>
        <v>0</v>
      </c>
      <c r="AB22" s="18">
        <v>8</v>
      </c>
      <c r="AC22" s="18">
        <v>8.0039999999999996</v>
      </c>
      <c r="AD22" s="18">
        <v>8</v>
      </c>
      <c r="AE22" s="18">
        <v>8.0039999999999996</v>
      </c>
      <c r="AF22" s="18">
        <f t="shared" si="2"/>
        <v>0</v>
      </c>
    </row>
    <row r="23" spans="2:32">
      <c r="D23">
        <f t="shared" si="0"/>
        <v>0</v>
      </c>
      <c r="E23">
        <v>0</v>
      </c>
      <c r="AB23" s="18">
        <v>9</v>
      </c>
      <c r="AC23" s="18">
        <v>9.0039999999999996</v>
      </c>
      <c r="AD23" s="18">
        <v>9</v>
      </c>
      <c r="AE23" s="18">
        <v>9.0039999999999996</v>
      </c>
      <c r="AF23" s="18">
        <f t="shared" si="2"/>
        <v>0</v>
      </c>
    </row>
    <row r="24" spans="2:32">
      <c r="D24">
        <f t="shared" si="0"/>
        <v>0</v>
      </c>
      <c r="E24">
        <v>0</v>
      </c>
      <c r="AB24" s="18">
        <v>10</v>
      </c>
      <c r="AC24" s="18">
        <v>10.004</v>
      </c>
      <c r="AD24" s="18">
        <v>10</v>
      </c>
      <c r="AE24" s="18">
        <v>10.004</v>
      </c>
      <c r="AF24" s="18">
        <f t="shared" si="2"/>
        <v>0</v>
      </c>
    </row>
    <row r="25" spans="2:32">
      <c r="D25">
        <f t="shared" si="0"/>
        <v>0</v>
      </c>
      <c r="E25">
        <v>0</v>
      </c>
    </row>
    <row r="26" spans="2:32">
      <c r="D26">
        <f t="shared" si="0"/>
        <v>0</v>
      </c>
      <c r="E26">
        <v>0</v>
      </c>
    </row>
    <row r="27" spans="2:32">
      <c r="D27">
        <f t="shared" si="0"/>
        <v>0</v>
      </c>
      <c r="E27">
        <v>0</v>
      </c>
    </row>
    <row r="28" spans="2:32">
      <c r="D28">
        <f t="shared" si="0"/>
        <v>0</v>
      </c>
      <c r="E28">
        <v>0</v>
      </c>
    </row>
    <row r="29" spans="2:32">
      <c r="D29">
        <f t="shared" si="0"/>
        <v>0</v>
      </c>
      <c r="E29">
        <v>0</v>
      </c>
    </row>
    <row r="30" spans="2:32">
      <c r="D30">
        <f t="shared" si="0"/>
        <v>0</v>
      </c>
      <c r="E30">
        <v>0</v>
      </c>
    </row>
    <row r="31" spans="2:32">
      <c r="D31">
        <f t="shared" si="0"/>
        <v>0</v>
      </c>
      <c r="E31">
        <v>0</v>
      </c>
    </row>
    <row r="32" spans="2:32">
      <c r="D32">
        <f t="shared" si="0"/>
        <v>0</v>
      </c>
      <c r="E32">
        <v>0</v>
      </c>
    </row>
    <row r="33" spans="4:5">
      <c r="D33">
        <f t="shared" si="0"/>
        <v>0</v>
      </c>
      <c r="E33">
        <v>0</v>
      </c>
    </row>
    <row r="34" spans="4:5">
      <c r="D34">
        <f t="shared" ref="D34:D50" si="3">(20*(10^3)*B34+(10^4)*C34)/(20*(10^3)+(10^4))</f>
        <v>0</v>
      </c>
      <c r="E34">
        <v>0</v>
      </c>
    </row>
    <row r="35" spans="4:5">
      <c r="D35">
        <f t="shared" si="3"/>
        <v>0</v>
      </c>
      <c r="E35">
        <v>0</v>
      </c>
    </row>
    <row r="36" spans="4:5">
      <c r="D36">
        <f t="shared" si="3"/>
        <v>0</v>
      </c>
      <c r="E36">
        <v>0</v>
      </c>
    </row>
    <row r="37" spans="4:5">
      <c r="D37">
        <f t="shared" si="3"/>
        <v>0</v>
      </c>
      <c r="E37">
        <v>0</v>
      </c>
    </row>
    <row r="38" spans="4:5">
      <c r="D38">
        <f t="shared" si="3"/>
        <v>0</v>
      </c>
      <c r="E38">
        <v>0</v>
      </c>
    </row>
    <row r="39" spans="4:5">
      <c r="D39">
        <f t="shared" si="3"/>
        <v>0</v>
      </c>
      <c r="E39">
        <v>0</v>
      </c>
    </row>
    <row r="40" spans="4:5">
      <c r="D40">
        <f t="shared" si="3"/>
        <v>0</v>
      </c>
      <c r="E40">
        <v>0</v>
      </c>
    </row>
    <row r="41" spans="4:5">
      <c r="D41">
        <f t="shared" si="3"/>
        <v>0</v>
      </c>
      <c r="E41">
        <v>0</v>
      </c>
    </row>
    <row r="42" spans="4:5">
      <c r="D42">
        <f t="shared" si="3"/>
        <v>0</v>
      </c>
      <c r="E42">
        <v>0</v>
      </c>
    </row>
    <row r="43" spans="4:5">
      <c r="D43">
        <f t="shared" si="3"/>
        <v>0</v>
      </c>
      <c r="E43">
        <v>0</v>
      </c>
    </row>
    <row r="44" spans="4:5">
      <c r="D44">
        <f t="shared" si="3"/>
        <v>0</v>
      </c>
      <c r="E44">
        <v>0</v>
      </c>
    </row>
    <row r="45" spans="4:5">
      <c r="D45">
        <f t="shared" si="3"/>
        <v>0</v>
      </c>
      <c r="E45">
        <v>0</v>
      </c>
    </row>
    <row r="46" spans="4:5">
      <c r="D46">
        <f t="shared" si="3"/>
        <v>0</v>
      </c>
      <c r="E46">
        <v>0</v>
      </c>
    </row>
    <row r="47" spans="4:5">
      <c r="D47">
        <f t="shared" si="3"/>
        <v>0</v>
      </c>
      <c r="E47">
        <v>0</v>
      </c>
    </row>
    <row r="48" spans="4:5">
      <c r="D48">
        <f t="shared" si="3"/>
        <v>0</v>
      </c>
      <c r="E48">
        <v>0</v>
      </c>
    </row>
    <row r="49" spans="4:5">
      <c r="D49">
        <f t="shared" si="3"/>
        <v>0</v>
      </c>
      <c r="E49">
        <v>0</v>
      </c>
    </row>
    <row r="50" spans="4:5">
      <c r="D50">
        <f t="shared" si="3"/>
        <v>0</v>
      </c>
      <c r="E50">
        <v>0</v>
      </c>
    </row>
  </sheetData>
  <mergeCells count="3">
    <mergeCell ref="AB2:AC2"/>
    <mergeCell ref="AD2:AE2"/>
    <mergeCell ref="AF2:AF3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CF75-B1FC-AB49-9F92-A9C57BEDF87F}">
  <dimension ref="A1:AP50"/>
  <sheetViews>
    <sheetView topLeftCell="U1" zoomScaleNormal="100" workbookViewId="0">
      <selection activeCell="V1" sqref="V1:AA23"/>
    </sheetView>
  </sheetViews>
  <sheetFormatPr baseColWidth="10" defaultColWidth="11.5703125" defaultRowHeight="20"/>
  <cols>
    <col min="4" max="4" width="24" bestFit="1" customWidth="1"/>
  </cols>
  <sheetData>
    <row r="1" spans="1:42" ht="22">
      <c r="A1" t="s">
        <v>0</v>
      </c>
      <c r="B1" t="s">
        <v>1</v>
      </c>
      <c r="C1" t="s">
        <v>2</v>
      </c>
      <c r="D1" t="s">
        <v>3</v>
      </c>
      <c r="E1" t="s">
        <v>4</v>
      </c>
      <c r="L1" t="s">
        <v>19</v>
      </c>
      <c r="M1" t="s">
        <v>7</v>
      </c>
      <c r="N1" t="s">
        <v>8</v>
      </c>
      <c r="V1" s="29" t="s">
        <v>44</v>
      </c>
      <c r="W1" s="29"/>
      <c r="X1" s="29" t="s">
        <v>40</v>
      </c>
      <c r="Y1" s="29"/>
      <c r="Z1" s="29" t="s">
        <v>46</v>
      </c>
      <c r="AA1" s="29" t="s">
        <v>46</v>
      </c>
      <c r="AC1" t="s">
        <v>47</v>
      </c>
      <c r="AO1" t="s">
        <v>22</v>
      </c>
    </row>
    <row r="2" spans="1:42">
      <c r="A2" t="s">
        <v>10</v>
      </c>
      <c r="B2">
        <v>-10</v>
      </c>
      <c r="C2">
        <v>-10</v>
      </c>
      <c r="D2">
        <f t="shared" ref="D2:D33" si="0">(20*(10^3)*B2+(10^4)*C2)/(20*(10^3)+(10^4))</f>
        <v>-10</v>
      </c>
      <c r="E2">
        <v>0</v>
      </c>
      <c r="M2">
        <v>-10</v>
      </c>
      <c r="N2">
        <v>-10</v>
      </c>
      <c r="V2" s="24" t="s">
        <v>1</v>
      </c>
      <c r="W2" s="24" t="s">
        <v>2</v>
      </c>
      <c r="X2" s="24" t="s">
        <v>7</v>
      </c>
      <c r="Y2" s="24" t="s">
        <v>8</v>
      </c>
      <c r="Z2" s="29"/>
      <c r="AA2" s="29"/>
      <c r="AO2">
        <f t="shared" ref="AO2:AO22" si="1">750*(N2-C2)/N2</f>
        <v>0</v>
      </c>
      <c r="AP2" s="3">
        <f>AVERAGE(AO2:AO22)</f>
        <v>0</v>
      </c>
    </row>
    <row r="3" spans="1:42">
      <c r="B3">
        <v>-9</v>
      </c>
      <c r="C3">
        <v>-9</v>
      </c>
      <c r="D3">
        <f t="shared" si="0"/>
        <v>-9</v>
      </c>
      <c r="E3">
        <v>0</v>
      </c>
      <c r="M3">
        <v>-9</v>
      </c>
      <c r="N3">
        <v>-9</v>
      </c>
      <c r="V3" s="24">
        <v>-10</v>
      </c>
      <c r="W3" s="24">
        <v>-10</v>
      </c>
      <c r="X3" s="24">
        <v>-10</v>
      </c>
      <c r="Y3" s="24">
        <v>-10</v>
      </c>
      <c r="Z3" s="24" t="str">
        <f>IF(V3-W3=0,$AC$1,100*1000*W3/(W3-V3))</f>
        <v>∞</v>
      </c>
      <c r="AA3" s="24" t="str">
        <f>IF(X3-Y3=0,$AC$1,100*1000*Y3/(Y3-X3))</f>
        <v>∞</v>
      </c>
      <c r="AO3">
        <f t="shared" si="1"/>
        <v>0</v>
      </c>
    </row>
    <row r="4" spans="1:42">
      <c r="B4">
        <v>-8</v>
      </c>
      <c r="C4">
        <v>-8</v>
      </c>
      <c r="D4">
        <f t="shared" si="0"/>
        <v>-8</v>
      </c>
      <c r="E4">
        <v>0</v>
      </c>
      <c r="M4">
        <v>-8</v>
      </c>
      <c r="N4">
        <v>-8</v>
      </c>
      <c r="V4" s="24">
        <v>-9</v>
      </c>
      <c r="W4" s="24">
        <v>-9</v>
      </c>
      <c r="X4" s="24">
        <v>-9</v>
      </c>
      <c r="Y4" s="24">
        <v>-9</v>
      </c>
      <c r="Z4" s="24" t="str">
        <f t="shared" ref="Z4:Z23" si="2">IF(V4-W4=0,$AC$1,100*1000*W4/(W4-V4))</f>
        <v>∞</v>
      </c>
      <c r="AA4" s="24" t="str">
        <f t="shared" ref="AA4:AA23" si="3">IF(X4-Y4=0,$AC$1,100*1000*Y4/(Y4-X4))</f>
        <v>∞</v>
      </c>
      <c r="AO4">
        <f t="shared" si="1"/>
        <v>0</v>
      </c>
    </row>
    <row r="5" spans="1:42">
      <c r="B5">
        <v>-7</v>
      </c>
      <c r="C5">
        <v>-7</v>
      </c>
      <c r="D5">
        <f t="shared" si="0"/>
        <v>-7</v>
      </c>
      <c r="E5">
        <v>0</v>
      </c>
      <c r="M5">
        <v>-7</v>
      </c>
      <c r="N5">
        <v>-7</v>
      </c>
      <c r="V5" s="24">
        <v>-8</v>
      </c>
      <c r="W5" s="24">
        <v>-8</v>
      </c>
      <c r="X5" s="24">
        <v>-8</v>
      </c>
      <c r="Y5" s="24">
        <v>-8</v>
      </c>
      <c r="Z5" s="24" t="str">
        <f t="shared" si="2"/>
        <v>∞</v>
      </c>
      <c r="AA5" s="24" t="str">
        <f t="shared" si="3"/>
        <v>∞</v>
      </c>
      <c r="AO5">
        <f t="shared" si="1"/>
        <v>0</v>
      </c>
    </row>
    <row r="6" spans="1:42">
      <c r="B6">
        <v>-6</v>
      </c>
      <c r="C6">
        <v>-5.9989999999999997</v>
      </c>
      <c r="D6">
        <f t="shared" si="0"/>
        <v>-5.9996666666666663</v>
      </c>
      <c r="E6">
        <v>0</v>
      </c>
      <c r="M6">
        <v>-6</v>
      </c>
      <c r="N6">
        <v>-5.9989999999999997</v>
      </c>
      <c r="V6" s="24">
        <v>-7</v>
      </c>
      <c r="W6" s="24">
        <v>-7</v>
      </c>
      <c r="X6" s="24">
        <v>-7</v>
      </c>
      <c r="Y6" s="24">
        <v>-7</v>
      </c>
      <c r="Z6" s="24" t="str">
        <f t="shared" si="2"/>
        <v>∞</v>
      </c>
      <c r="AA6" s="24" t="str">
        <f t="shared" si="3"/>
        <v>∞</v>
      </c>
      <c r="AO6">
        <f t="shared" si="1"/>
        <v>0</v>
      </c>
    </row>
    <row r="7" spans="1:42">
      <c r="B7">
        <v>-5</v>
      </c>
      <c r="C7">
        <v>-4.9989999999999997</v>
      </c>
      <c r="D7">
        <f t="shared" si="0"/>
        <v>-4.9996666666666663</v>
      </c>
      <c r="E7">
        <v>0</v>
      </c>
      <c r="M7">
        <v>-5</v>
      </c>
      <c r="N7">
        <v>-4.9989999999999997</v>
      </c>
      <c r="V7" s="24">
        <v>-6</v>
      </c>
      <c r="W7" s="24">
        <v>-5.9989999999999997</v>
      </c>
      <c r="X7" s="24">
        <v>-6</v>
      </c>
      <c r="Y7" s="24">
        <v>-5.9989999999999997</v>
      </c>
      <c r="Z7" s="24">
        <f>IF(V7-W7=0,$AC$1,ABS(100*1000*W7/(W7-V7)))</f>
        <v>599899999.99979961</v>
      </c>
      <c r="AA7" s="24">
        <f>IF(X7-Y7=0,$AC$1,ABS(100*1000*Y7/(Y7-X7)))</f>
        <v>599899999.99979961</v>
      </c>
      <c r="AO7">
        <f t="shared" si="1"/>
        <v>0</v>
      </c>
    </row>
    <row r="8" spans="1:42">
      <c r="B8">
        <v>-4</v>
      </c>
      <c r="C8">
        <v>-3.9990000000000001</v>
      </c>
      <c r="D8">
        <f t="shared" si="0"/>
        <v>-3.9996666666666667</v>
      </c>
      <c r="E8">
        <v>0</v>
      </c>
      <c r="M8">
        <v>-4</v>
      </c>
      <c r="N8">
        <v>-3.9990000000000001</v>
      </c>
      <c r="V8" s="24">
        <v>-5</v>
      </c>
      <c r="W8" s="24">
        <v>-4.9989999999999997</v>
      </c>
      <c r="X8" s="24">
        <v>-5</v>
      </c>
      <c r="Y8" s="24">
        <v>-4.9989999999999997</v>
      </c>
      <c r="Z8" s="24">
        <f t="shared" ref="Z8:Z12" si="4">IF(V8-W8=0,$AC$1,ABS(100*1000*W8/(W8-V8)))</f>
        <v>499899999.99983299</v>
      </c>
      <c r="AA8" s="24">
        <f t="shared" ref="AA8:AA12" si="5">IF(X8-Y8=0,$AC$1,ABS(100*1000*Y8/(Y8-X8)))</f>
        <v>499899999.99983299</v>
      </c>
      <c r="AO8">
        <f t="shared" si="1"/>
        <v>0</v>
      </c>
    </row>
    <row r="9" spans="1:42">
      <c r="B9">
        <v>-3</v>
      </c>
      <c r="C9">
        <v>-2.9990000000000001</v>
      </c>
      <c r="D9">
        <f t="shared" si="0"/>
        <v>-2.9996666666666667</v>
      </c>
      <c r="E9">
        <v>0</v>
      </c>
      <c r="M9">
        <v>-3</v>
      </c>
      <c r="N9">
        <v>-2.9990000000000001</v>
      </c>
      <c r="V9" s="24">
        <v>-4</v>
      </c>
      <c r="W9" s="24">
        <v>-3.9990000000000001</v>
      </c>
      <c r="X9" s="24">
        <v>-4</v>
      </c>
      <c r="Y9" s="24">
        <v>-3.9990000000000001</v>
      </c>
      <c r="Z9" s="24">
        <f t="shared" si="4"/>
        <v>399900000.00004405</v>
      </c>
      <c r="AA9" s="24">
        <f t="shared" si="5"/>
        <v>399900000.00004405</v>
      </c>
      <c r="AO9">
        <f t="shared" si="1"/>
        <v>0</v>
      </c>
    </row>
    <row r="10" spans="1:42">
      <c r="B10">
        <v>-2</v>
      </c>
      <c r="C10">
        <v>-1.998</v>
      </c>
      <c r="D10">
        <f t="shared" si="0"/>
        <v>-1.9993333333333334</v>
      </c>
      <c r="E10">
        <v>0</v>
      </c>
      <c r="M10">
        <v>-2</v>
      </c>
      <c r="N10">
        <v>-1.998</v>
      </c>
      <c r="V10" s="24">
        <v>-3</v>
      </c>
      <c r="W10" s="24">
        <v>-2.9990000000000001</v>
      </c>
      <c r="X10" s="24">
        <v>-3</v>
      </c>
      <c r="Y10" s="24">
        <v>-2.9990000000000001</v>
      </c>
      <c r="Z10" s="24">
        <f t="shared" si="4"/>
        <v>299900000.00003302</v>
      </c>
      <c r="AA10" s="24">
        <f t="shared" si="5"/>
        <v>299900000.00003302</v>
      </c>
      <c r="AO10">
        <f t="shared" si="1"/>
        <v>0</v>
      </c>
    </row>
    <row r="11" spans="1:42">
      <c r="B11">
        <v>-1</v>
      </c>
      <c r="C11">
        <v>-0.998</v>
      </c>
      <c r="D11">
        <f t="shared" si="0"/>
        <v>-0.9993333333333333</v>
      </c>
      <c r="E11">
        <v>0</v>
      </c>
      <c r="M11">
        <v>-1</v>
      </c>
      <c r="N11">
        <v>-0.998</v>
      </c>
      <c r="V11" s="24">
        <v>-2</v>
      </c>
      <c r="W11" s="24">
        <v>-1.998</v>
      </c>
      <c r="X11" s="24">
        <v>-2</v>
      </c>
      <c r="Y11" s="24">
        <v>-1.998</v>
      </c>
      <c r="Z11" s="24">
        <f t="shared" si="4"/>
        <v>99899999.999999911</v>
      </c>
      <c r="AA11" s="24">
        <f t="shared" si="5"/>
        <v>99899999.999999911</v>
      </c>
      <c r="AO11">
        <f t="shared" si="1"/>
        <v>0</v>
      </c>
    </row>
    <row r="12" spans="1:42">
      <c r="B12">
        <v>0</v>
      </c>
      <c r="C12">
        <v>2E-3</v>
      </c>
      <c r="D12">
        <f t="shared" si="0"/>
        <v>6.6666666666666664E-4</v>
      </c>
      <c r="E12">
        <v>0</v>
      </c>
      <c r="M12">
        <v>0</v>
      </c>
      <c r="N12">
        <v>2E-3</v>
      </c>
      <c r="V12" s="24">
        <v>-1</v>
      </c>
      <c r="W12" s="24">
        <v>-0.998</v>
      </c>
      <c r="X12" s="24">
        <v>-1</v>
      </c>
      <c r="Y12" s="24">
        <v>-0.998</v>
      </c>
      <c r="Z12" s="24">
        <f t="shared" si="4"/>
        <v>49899999.999999955</v>
      </c>
      <c r="AA12" s="24">
        <f t="shared" si="5"/>
        <v>49899999.999999955</v>
      </c>
      <c r="AO12">
        <f t="shared" si="1"/>
        <v>0</v>
      </c>
    </row>
    <row r="13" spans="1:42">
      <c r="B13">
        <v>1</v>
      </c>
      <c r="C13">
        <v>1.002</v>
      </c>
      <c r="D13">
        <f t="shared" si="0"/>
        <v>1.0006666666666666</v>
      </c>
      <c r="E13">
        <v>0</v>
      </c>
      <c r="M13">
        <v>1</v>
      </c>
      <c r="N13">
        <v>1.002</v>
      </c>
      <c r="V13" s="24">
        <v>0</v>
      </c>
      <c r="W13" s="24">
        <v>2E-3</v>
      </c>
      <c r="X13" s="24">
        <v>0</v>
      </c>
      <c r="Y13" s="24">
        <v>2E-3</v>
      </c>
      <c r="Z13" s="24">
        <f t="shared" si="2"/>
        <v>100000</v>
      </c>
      <c r="AA13" s="24">
        <f t="shared" si="3"/>
        <v>100000</v>
      </c>
      <c r="AO13">
        <f t="shared" si="1"/>
        <v>0</v>
      </c>
    </row>
    <row r="14" spans="1:42">
      <c r="B14">
        <v>2</v>
      </c>
      <c r="C14">
        <v>2.0019999999999998</v>
      </c>
      <c r="D14">
        <f t="shared" si="0"/>
        <v>2.0006666666666666</v>
      </c>
      <c r="E14">
        <v>0</v>
      </c>
      <c r="G14" t="s">
        <v>11</v>
      </c>
      <c r="H14" t="s">
        <v>12</v>
      </c>
      <c r="I14" t="s">
        <v>13</v>
      </c>
      <c r="J14" t="s">
        <v>14</v>
      </c>
      <c r="M14">
        <v>2</v>
      </c>
      <c r="N14">
        <v>2.0019999999999998</v>
      </c>
      <c r="V14" s="24">
        <v>1</v>
      </c>
      <c r="W14" s="24">
        <v>1.002</v>
      </c>
      <c r="X14" s="24">
        <v>1</v>
      </c>
      <c r="Y14" s="24">
        <v>1.002</v>
      </c>
      <c r="Z14" s="24">
        <f t="shared" si="2"/>
        <v>50099999.999999955</v>
      </c>
      <c r="AA14" s="24">
        <f t="shared" si="3"/>
        <v>50099999.999999955</v>
      </c>
      <c r="AO14">
        <f t="shared" si="1"/>
        <v>0</v>
      </c>
    </row>
    <row r="15" spans="1:42">
      <c r="B15">
        <v>3</v>
      </c>
      <c r="C15">
        <v>3.0030000000000001</v>
      </c>
      <c r="D15">
        <f t="shared" si="0"/>
        <v>3.0009999999999999</v>
      </c>
      <c r="E15">
        <v>0</v>
      </c>
      <c r="G15">
        <f>SLOPE(C2:C50,B2:B50)</f>
        <v>1.0002233766233766</v>
      </c>
      <c r="H15">
        <v>-2</v>
      </c>
      <c r="I15">
        <f>INTERCEPT(C2:C50,B2:B50)</f>
        <v>1.9999999999999068E-3</v>
      </c>
      <c r="J15">
        <v>0</v>
      </c>
      <c r="M15">
        <v>3</v>
      </c>
      <c r="N15">
        <v>3.0030000000000001</v>
      </c>
      <c r="V15" s="24">
        <v>2</v>
      </c>
      <c r="W15" s="24">
        <v>2.0019999999999998</v>
      </c>
      <c r="X15" s="24">
        <v>2</v>
      </c>
      <c r="Y15" s="24">
        <v>2.0019999999999998</v>
      </c>
      <c r="Z15" s="24">
        <f t="shared" si="2"/>
        <v>100100000.00001101</v>
      </c>
      <c r="AA15" s="24">
        <f t="shared" si="3"/>
        <v>100100000.00001101</v>
      </c>
      <c r="AO15">
        <f t="shared" si="1"/>
        <v>0</v>
      </c>
    </row>
    <row r="16" spans="1:42">
      <c r="B16">
        <v>4</v>
      </c>
      <c r="C16">
        <v>4.0030000000000001</v>
      </c>
      <c r="D16">
        <f t="shared" si="0"/>
        <v>4.0010000000000003</v>
      </c>
      <c r="E16">
        <v>0</v>
      </c>
      <c r="G16" t="s">
        <v>15</v>
      </c>
      <c r="M16">
        <v>4</v>
      </c>
      <c r="N16">
        <v>4.0030000000000001</v>
      </c>
      <c r="P16" t="s">
        <v>16</v>
      </c>
      <c r="V16" s="24">
        <v>3</v>
      </c>
      <c r="W16" s="24">
        <v>3.0030000000000001</v>
      </c>
      <c r="X16" s="24">
        <v>3</v>
      </c>
      <c r="Y16" s="24">
        <v>3.0030000000000001</v>
      </c>
      <c r="Z16" s="24">
        <f t="shared" si="2"/>
        <v>100099999.9999962</v>
      </c>
      <c r="AA16" s="24">
        <f t="shared" si="3"/>
        <v>100099999.9999962</v>
      </c>
      <c r="AO16">
        <f t="shared" si="1"/>
        <v>0</v>
      </c>
    </row>
    <row r="17" spans="2:41">
      <c r="B17">
        <v>5</v>
      </c>
      <c r="C17">
        <v>5.0030000000000001</v>
      </c>
      <c r="D17">
        <f t="shared" si="0"/>
        <v>5.0010000000000003</v>
      </c>
      <c r="E17">
        <v>0</v>
      </c>
      <c r="G17">
        <f>100*(ABS(G15-H15))/H15</f>
        <v>-150.01116883116882</v>
      </c>
      <c r="M17">
        <v>5</v>
      </c>
      <c r="N17">
        <v>5.0030000000000001</v>
      </c>
      <c r="V17" s="24">
        <v>4</v>
      </c>
      <c r="W17" s="24">
        <v>4.0030000000000001</v>
      </c>
      <c r="X17" s="24">
        <v>4</v>
      </c>
      <c r="Y17" s="24">
        <v>4.0030000000000001</v>
      </c>
      <c r="Z17" s="24">
        <f t="shared" si="2"/>
        <v>133433333.33332828</v>
      </c>
      <c r="AA17" s="24">
        <f t="shared" si="3"/>
        <v>133433333.33332828</v>
      </c>
      <c r="AO17">
        <f t="shared" si="1"/>
        <v>0</v>
      </c>
    </row>
    <row r="18" spans="2:41">
      <c r="B18">
        <v>6</v>
      </c>
      <c r="C18">
        <v>6.0030000000000001</v>
      </c>
      <c r="D18">
        <f t="shared" si="0"/>
        <v>6.0010000000000003</v>
      </c>
      <c r="E18">
        <v>0</v>
      </c>
      <c r="M18">
        <v>6</v>
      </c>
      <c r="N18">
        <v>6.0030000000000001</v>
      </c>
      <c r="V18" s="24">
        <v>5</v>
      </c>
      <c r="W18" s="24">
        <v>5.0030000000000001</v>
      </c>
      <c r="X18" s="24">
        <v>5</v>
      </c>
      <c r="Y18" s="24">
        <v>5.0030000000000001</v>
      </c>
      <c r="Z18" s="24">
        <f t="shared" si="2"/>
        <v>166766666.66666034</v>
      </c>
      <c r="AA18" s="24">
        <f t="shared" si="3"/>
        <v>166766666.66666034</v>
      </c>
      <c r="AO18">
        <f t="shared" si="1"/>
        <v>0</v>
      </c>
    </row>
    <row r="19" spans="2:41">
      <c r="B19">
        <v>7</v>
      </c>
      <c r="C19">
        <v>7.0039999999999996</v>
      </c>
      <c r="D19">
        <f t="shared" si="0"/>
        <v>7.0013333333333332</v>
      </c>
      <c r="E19">
        <v>0</v>
      </c>
      <c r="M19">
        <v>7</v>
      </c>
      <c r="N19">
        <v>7.0039999999999996</v>
      </c>
      <c r="V19" s="24">
        <v>6</v>
      </c>
      <c r="W19" s="24">
        <v>6.0030000000000001</v>
      </c>
      <c r="X19" s="24">
        <v>6</v>
      </c>
      <c r="Y19" s="24">
        <v>6.0030000000000001</v>
      </c>
      <c r="Z19" s="24">
        <f t="shared" si="2"/>
        <v>200099999.99999243</v>
      </c>
      <c r="AA19" s="24">
        <f t="shared" si="3"/>
        <v>200099999.99999243</v>
      </c>
      <c r="AO19">
        <f t="shared" si="1"/>
        <v>0</v>
      </c>
    </row>
    <row r="20" spans="2:41">
      <c r="B20">
        <v>8</v>
      </c>
      <c r="C20">
        <v>8.0039999999999996</v>
      </c>
      <c r="D20">
        <f t="shared" si="0"/>
        <v>8.0013333333333332</v>
      </c>
      <c r="E20">
        <v>0</v>
      </c>
      <c r="M20">
        <v>8</v>
      </c>
      <c r="N20">
        <v>8.0039999999999996</v>
      </c>
      <c r="V20" s="24">
        <v>7</v>
      </c>
      <c r="W20" s="24">
        <v>7.0039999999999996</v>
      </c>
      <c r="X20" s="24">
        <v>7</v>
      </c>
      <c r="Y20" s="24">
        <v>7.0039999999999996</v>
      </c>
      <c r="Z20" s="24">
        <f t="shared" si="2"/>
        <v>175100000.00001928</v>
      </c>
      <c r="AA20" s="24">
        <f t="shared" si="3"/>
        <v>175100000.00001928</v>
      </c>
      <c r="AO20">
        <f t="shared" si="1"/>
        <v>0</v>
      </c>
    </row>
    <row r="21" spans="2:41">
      <c r="B21">
        <v>9</v>
      </c>
      <c r="C21">
        <v>9.0039999999999996</v>
      </c>
      <c r="D21">
        <f t="shared" si="0"/>
        <v>9.0013333333333332</v>
      </c>
      <c r="E21">
        <v>0</v>
      </c>
      <c r="M21">
        <v>9</v>
      </c>
      <c r="N21">
        <v>9.0039999999999996</v>
      </c>
      <c r="V21" s="24">
        <v>8</v>
      </c>
      <c r="W21" s="24">
        <v>8.0039999999999996</v>
      </c>
      <c r="X21" s="24">
        <v>8</v>
      </c>
      <c r="Y21" s="24">
        <v>8.0039999999999996</v>
      </c>
      <c r="Z21" s="24">
        <f t="shared" si="2"/>
        <v>200100000.00002202</v>
      </c>
      <c r="AA21" s="24">
        <f t="shared" si="3"/>
        <v>200100000.00002202</v>
      </c>
      <c r="AO21">
        <f t="shared" si="1"/>
        <v>0</v>
      </c>
    </row>
    <row r="22" spans="2:41">
      <c r="B22">
        <v>10</v>
      </c>
      <c r="C22">
        <v>10.004</v>
      </c>
      <c r="D22">
        <f t="shared" si="0"/>
        <v>10.001333333333333</v>
      </c>
      <c r="E22">
        <v>0</v>
      </c>
      <c r="M22">
        <v>10</v>
      </c>
      <c r="N22">
        <v>10.004</v>
      </c>
      <c r="V22" s="24">
        <v>9</v>
      </c>
      <c r="W22" s="24">
        <v>9.0039999999999996</v>
      </c>
      <c r="X22" s="24">
        <v>9</v>
      </c>
      <c r="Y22" s="24">
        <v>9.0039999999999996</v>
      </c>
      <c r="Z22" s="24">
        <f t="shared" si="2"/>
        <v>225100000.0000248</v>
      </c>
      <c r="AA22" s="24">
        <f t="shared" si="3"/>
        <v>225100000.0000248</v>
      </c>
      <c r="AO22">
        <f t="shared" si="1"/>
        <v>0</v>
      </c>
    </row>
    <row r="23" spans="2:41">
      <c r="D23">
        <f t="shared" si="0"/>
        <v>0</v>
      </c>
      <c r="E23">
        <v>0</v>
      </c>
      <c r="V23" s="24">
        <v>10</v>
      </c>
      <c r="W23" s="24">
        <v>10.004</v>
      </c>
      <c r="X23" s="24">
        <v>10</v>
      </c>
      <c r="Y23" s="24">
        <v>10.004</v>
      </c>
      <c r="Z23" s="24">
        <f t="shared" si="2"/>
        <v>250100000.00002754</v>
      </c>
      <c r="AA23" s="24">
        <f t="shared" si="3"/>
        <v>250100000.00002754</v>
      </c>
    </row>
    <row r="24" spans="2:41">
      <c r="D24">
        <f t="shared" si="0"/>
        <v>0</v>
      </c>
      <c r="E24">
        <v>0</v>
      </c>
    </row>
    <row r="25" spans="2:41">
      <c r="D25">
        <f t="shared" si="0"/>
        <v>0</v>
      </c>
      <c r="E25">
        <v>0</v>
      </c>
    </row>
    <row r="26" spans="2:41">
      <c r="D26">
        <f t="shared" si="0"/>
        <v>0</v>
      </c>
      <c r="E26">
        <v>0</v>
      </c>
    </row>
    <row r="27" spans="2:41">
      <c r="D27">
        <f t="shared" si="0"/>
        <v>0</v>
      </c>
      <c r="E27">
        <v>0</v>
      </c>
    </row>
    <row r="28" spans="2:41">
      <c r="D28">
        <f t="shared" si="0"/>
        <v>0</v>
      </c>
      <c r="E28">
        <v>0</v>
      </c>
    </row>
    <row r="29" spans="2:41">
      <c r="D29">
        <f t="shared" si="0"/>
        <v>0</v>
      </c>
      <c r="E29">
        <v>0</v>
      </c>
    </row>
    <row r="30" spans="2:41">
      <c r="D30">
        <f t="shared" si="0"/>
        <v>0</v>
      </c>
      <c r="E30">
        <v>0</v>
      </c>
    </row>
    <row r="31" spans="2:41">
      <c r="D31">
        <f t="shared" si="0"/>
        <v>0</v>
      </c>
      <c r="E31">
        <v>0</v>
      </c>
    </row>
    <row r="32" spans="2:41">
      <c r="D32">
        <f t="shared" si="0"/>
        <v>0</v>
      </c>
      <c r="E32">
        <v>0</v>
      </c>
    </row>
    <row r="33" spans="4:5">
      <c r="D33">
        <f t="shared" si="0"/>
        <v>0</v>
      </c>
      <c r="E33">
        <v>0</v>
      </c>
    </row>
    <row r="34" spans="4:5">
      <c r="D34">
        <f t="shared" ref="D34:D50" si="6">(20*(10^3)*B34+(10^4)*C34)/(20*(10^3)+(10^4))</f>
        <v>0</v>
      </c>
      <c r="E34">
        <v>0</v>
      </c>
    </row>
    <row r="35" spans="4:5">
      <c r="D35">
        <f t="shared" si="6"/>
        <v>0</v>
      </c>
      <c r="E35">
        <v>0</v>
      </c>
    </row>
    <row r="36" spans="4:5">
      <c r="D36">
        <f t="shared" si="6"/>
        <v>0</v>
      </c>
      <c r="E36">
        <v>0</v>
      </c>
    </row>
    <row r="37" spans="4:5">
      <c r="D37">
        <f t="shared" si="6"/>
        <v>0</v>
      </c>
      <c r="E37">
        <v>0</v>
      </c>
    </row>
    <row r="38" spans="4:5">
      <c r="D38">
        <f t="shared" si="6"/>
        <v>0</v>
      </c>
      <c r="E38">
        <v>0</v>
      </c>
    </row>
    <row r="39" spans="4:5">
      <c r="D39">
        <f t="shared" si="6"/>
        <v>0</v>
      </c>
      <c r="E39">
        <v>0</v>
      </c>
    </row>
    <row r="40" spans="4:5">
      <c r="D40">
        <f t="shared" si="6"/>
        <v>0</v>
      </c>
      <c r="E40">
        <v>0</v>
      </c>
    </row>
    <row r="41" spans="4:5">
      <c r="D41">
        <f t="shared" si="6"/>
        <v>0</v>
      </c>
      <c r="E41">
        <v>0</v>
      </c>
    </row>
    <row r="42" spans="4:5">
      <c r="D42">
        <f t="shared" si="6"/>
        <v>0</v>
      </c>
      <c r="E42">
        <v>0</v>
      </c>
    </row>
    <row r="43" spans="4:5">
      <c r="D43">
        <f t="shared" si="6"/>
        <v>0</v>
      </c>
      <c r="E43">
        <v>0</v>
      </c>
    </row>
    <row r="44" spans="4:5">
      <c r="D44">
        <f t="shared" si="6"/>
        <v>0</v>
      </c>
      <c r="E44">
        <v>0</v>
      </c>
    </row>
    <row r="45" spans="4:5">
      <c r="D45">
        <f t="shared" si="6"/>
        <v>0</v>
      </c>
      <c r="E45">
        <v>0</v>
      </c>
    </row>
    <row r="46" spans="4:5">
      <c r="D46">
        <f t="shared" si="6"/>
        <v>0</v>
      </c>
      <c r="E46">
        <v>0</v>
      </c>
    </row>
    <row r="47" spans="4:5">
      <c r="D47">
        <f t="shared" si="6"/>
        <v>0</v>
      </c>
      <c r="E47">
        <v>0</v>
      </c>
    </row>
    <row r="48" spans="4:5">
      <c r="D48">
        <f t="shared" si="6"/>
        <v>0</v>
      </c>
      <c r="E48">
        <v>0</v>
      </c>
    </row>
    <row r="49" spans="4:5">
      <c r="D49">
        <f t="shared" si="6"/>
        <v>0</v>
      </c>
      <c r="E49">
        <v>0</v>
      </c>
    </row>
    <row r="50" spans="4:5">
      <c r="D50">
        <f t="shared" si="6"/>
        <v>0</v>
      </c>
      <c r="E50">
        <v>0</v>
      </c>
    </row>
  </sheetData>
  <mergeCells count="4">
    <mergeCell ref="V1:W1"/>
    <mergeCell ref="X1:Y1"/>
    <mergeCell ref="Z1:Z2"/>
    <mergeCell ref="AA1:AA2"/>
  </mergeCells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BB25-AF53-8141-93A2-30DAE67D7A8E}">
  <dimension ref="A1:AJ50"/>
  <sheetViews>
    <sheetView topLeftCell="A23" zoomScale="107" zoomScaleNormal="100" workbookViewId="0">
      <selection activeCell="G18" sqref="G18"/>
    </sheetView>
  </sheetViews>
  <sheetFormatPr baseColWidth="10" defaultColWidth="11.5703125" defaultRowHeight="20"/>
  <cols>
    <col min="4" max="4" width="24" bestFit="1" customWidth="1"/>
  </cols>
  <sheetData>
    <row r="1" spans="1:36" ht="22">
      <c r="A1" t="s">
        <v>0</v>
      </c>
      <c r="B1" t="s">
        <v>23</v>
      </c>
      <c r="C1" t="s">
        <v>2</v>
      </c>
      <c r="D1" t="s">
        <v>3</v>
      </c>
      <c r="E1" t="s">
        <v>4</v>
      </c>
      <c r="F1" s="4" t="s">
        <v>24</v>
      </c>
      <c r="N1" t="s">
        <v>1</v>
      </c>
      <c r="O1" t="s">
        <v>2</v>
      </c>
      <c r="P1" s="4" t="s">
        <v>23</v>
      </c>
      <c r="V1" t="s">
        <v>18</v>
      </c>
      <c r="W1" t="s">
        <v>7</v>
      </c>
      <c r="X1" t="s">
        <v>8</v>
      </c>
      <c r="AF1" t="s">
        <v>19</v>
      </c>
      <c r="AG1" t="s">
        <v>7</v>
      </c>
      <c r="AH1" t="s">
        <v>8</v>
      </c>
    </row>
    <row r="2" spans="1:36" ht="22">
      <c r="A2" t="s">
        <v>25</v>
      </c>
      <c r="B2">
        <v>-5</v>
      </c>
      <c r="C2">
        <v>-3.863</v>
      </c>
      <c r="D2" t="e">
        <f>(20*(10^3)*#REF!+(10^4)*B2)/(20*(10^3)+(10^4))</f>
        <v>#REF!</v>
      </c>
      <c r="E2">
        <v>0</v>
      </c>
      <c r="F2" s="3">
        <v>3</v>
      </c>
      <c r="M2" t="s">
        <v>26</v>
      </c>
      <c r="N2">
        <v>-5</v>
      </c>
      <c r="O2">
        <v>8.7050000000000001</v>
      </c>
      <c r="P2" s="3">
        <v>3</v>
      </c>
    </row>
    <row r="3" spans="1:36">
      <c r="B3">
        <v>-4</v>
      </c>
      <c r="C3">
        <v>-4.2850000000000001</v>
      </c>
      <c r="D3" t="e">
        <f>(20*(10^3)*#REF!+(10^4)*B3)/(20*(10^3)+(10^4))</f>
        <v>#REF!</v>
      </c>
      <c r="E3">
        <v>0</v>
      </c>
      <c r="N3">
        <v>-4</v>
      </c>
      <c r="O3">
        <v>6.7130000000000001</v>
      </c>
    </row>
    <row r="4" spans="1:36">
      <c r="B4">
        <v>-3</v>
      </c>
      <c r="C4">
        <v>-4.7069999999999999</v>
      </c>
      <c r="D4">
        <f t="shared" ref="D4:D50" si="0">(20*(10^3)*B4+(10^4)*C4)/(20*(10^3)+(10^4))</f>
        <v>-3.569</v>
      </c>
      <c r="E4">
        <v>0</v>
      </c>
      <c r="N4">
        <v>-3</v>
      </c>
      <c r="O4">
        <v>4.72</v>
      </c>
    </row>
    <row r="5" spans="1:36">
      <c r="B5">
        <v>-2</v>
      </c>
      <c r="C5">
        <v>-5.1289999999999996</v>
      </c>
      <c r="D5">
        <f t="shared" si="0"/>
        <v>-3.0430000000000001</v>
      </c>
      <c r="E5">
        <v>0</v>
      </c>
      <c r="N5">
        <v>-2</v>
      </c>
      <c r="O5">
        <v>2.7269999999999999</v>
      </c>
    </row>
    <row r="6" spans="1:36">
      <c r="B6">
        <v>-1</v>
      </c>
      <c r="C6">
        <v>-5.55</v>
      </c>
      <c r="D6">
        <f t="shared" si="0"/>
        <v>-2.5166666666666666</v>
      </c>
      <c r="E6">
        <v>0</v>
      </c>
      <c r="N6">
        <v>-1</v>
      </c>
      <c r="O6">
        <v>0.73399999999999999</v>
      </c>
    </row>
    <row r="7" spans="1:36">
      <c r="B7">
        <v>0</v>
      </c>
      <c r="C7">
        <v>-5.9720000000000004</v>
      </c>
      <c r="D7">
        <f t="shared" si="0"/>
        <v>-1.9906666666666668</v>
      </c>
      <c r="E7">
        <v>0</v>
      </c>
      <c r="N7">
        <v>0</v>
      </c>
      <c r="O7">
        <v>-1.2589999999999999</v>
      </c>
    </row>
    <row r="8" spans="1:36">
      <c r="B8">
        <v>1</v>
      </c>
      <c r="C8">
        <v>-6.3940000000000001</v>
      </c>
      <c r="D8">
        <f t="shared" si="0"/>
        <v>-1.4646666666666666</v>
      </c>
      <c r="E8">
        <v>0</v>
      </c>
      <c r="N8">
        <v>1</v>
      </c>
      <c r="O8">
        <v>-3.2509999999999999</v>
      </c>
    </row>
    <row r="9" spans="1:36">
      <c r="B9">
        <v>2</v>
      </c>
      <c r="C9">
        <v>-6.8159999999999998</v>
      </c>
      <c r="D9">
        <f t="shared" si="0"/>
        <v>-0.93866666666666665</v>
      </c>
      <c r="E9">
        <v>0</v>
      </c>
      <c r="N9">
        <v>2</v>
      </c>
      <c r="O9">
        <v>-5.2450000000000001</v>
      </c>
    </row>
    <row r="10" spans="1:36">
      <c r="B10">
        <v>3</v>
      </c>
      <c r="C10">
        <v>-7.2370000000000001</v>
      </c>
      <c r="D10">
        <f t="shared" si="0"/>
        <v>-0.41233333333333333</v>
      </c>
      <c r="E10">
        <v>0</v>
      </c>
      <c r="N10">
        <v>3</v>
      </c>
      <c r="O10">
        <v>-7.2370000000000001</v>
      </c>
    </row>
    <row r="11" spans="1:36">
      <c r="B11">
        <v>4</v>
      </c>
      <c r="C11">
        <v>-7.6589999999999998</v>
      </c>
      <c r="D11">
        <f t="shared" si="0"/>
        <v>0.11366666666666667</v>
      </c>
      <c r="E11">
        <v>0</v>
      </c>
      <c r="N11">
        <v>4</v>
      </c>
      <c r="O11">
        <v>-9.2289999999999992</v>
      </c>
    </row>
    <row r="12" spans="1:36">
      <c r="B12">
        <v>5</v>
      </c>
      <c r="C12">
        <v>-8.0809999999999995</v>
      </c>
      <c r="D12">
        <f t="shared" si="0"/>
        <v>0.63966666666666672</v>
      </c>
      <c r="E12">
        <v>0</v>
      </c>
      <c r="N12">
        <v>5</v>
      </c>
      <c r="O12">
        <v>-11.221</v>
      </c>
    </row>
    <row r="13" spans="1:36">
      <c r="D13">
        <f t="shared" si="0"/>
        <v>0</v>
      </c>
      <c r="E13">
        <v>0</v>
      </c>
    </row>
    <row r="14" spans="1:36">
      <c r="D14">
        <f t="shared" si="0"/>
        <v>0</v>
      </c>
      <c r="E14">
        <v>0</v>
      </c>
      <c r="G14" t="s">
        <v>11</v>
      </c>
      <c r="H14" t="s">
        <v>12</v>
      </c>
      <c r="I14" t="s">
        <v>27</v>
      </c>
      <c r="J14" t="s">
        <v>28</v>
      </c>
      <c r="Q14" t="s">
        <v>11</v>
      </c>
      <c r="R14" t="s">
        <v>12</v>
      </c>
      <c r="S14" t="s">
        <v>27</v>
      </c>
      <c r="T14" t="s">
        <v>28</v>
      </c>
    </row>
    <row r="15" spans="1:36">
      <c r="D15">
        <f t="shared" si="0"/>
        <v>0</v>
      </c>
      <c r="E15">
        <v>0</v>
      </c>
      <c r="G15">
        <f>SLOPE(C2:C50,B2:B50)</f>
        <v>-0.4217636363636364</v>
      </c>
      <c r="H15">
        <f>-20/47</f>
        <v>-0.42553191489361702</v>
      </c>
      <c r="I15">
        <f>INTERCEPT(C2:C50,B2:B50)</f>
        <v>-5.9720909090909098</v>
      </c>
      <c r="J15">
        <f>-2*F2</f>
        <v>-6</v>
      </c>
      <c r="Q15">
        <f>SLOPE(O2:O50,N2:N50)</f>
        <v>-1.992709090909091</v>
      </c>
      <c r="R15">
        <v>-2</v>
      </c>
      <c r="S15">
        <f>INTERCEPT(O2:O50,N2:N50)</f>
        <v>-1.2584545454545459</v>
      </c>
      <c r="T15">
        <f>P2*(-20)/47</f>
        <v>-1.2765957446808511</v>
      </c>
    </row>
    <row r="16" spans="1:36">
      <c r="D16">
        <f t="shared" si="0"/>
        <v>0</v>
      </c>
      <c r="E16">
        <v>0</v>
      </c>
      <c r="G16" t="s">
        <v>15</v>
      </c>
      <c r="I16" t="s">
        <v>29</v>
      </c>
      <c r="Q16" t="s">
        <v>15</v>
      </c>
      <c r="S16" t="s">
        <v>29</v>
      </c>
      <c r="AJ16" t="s">
        <v>16</v>
      </c>
    </row>
    <row r="17" spans="4:19">
      <c r="D17">
        <f t="shared" si="0"/>
        <v>0</v>
      </c>
      <c r="E17">
        <v>0</v>
      </c>
      <c r="G17">
        <f>100*(ABS((G15-H15)/H15))</f>
        <v>0.88554545454544775</v>
      </c>
      <c r="I17">
        <f>ABS((I15-J15)/J15)</f>
        <v>4.6515151515150359E-3</v>
      </c>
      <c r="Q17">
        <f>100*(ABS(Q15-R15))/R15</f>
        <v>-0.36454545454545073</v>
      </c>
      <c r="S17">
        <f>ABS((S15-T15)/T15)</f>
        <v>1.4210606060605735E-2</v>
      </c>
    </row>
    <row r="18" spans="4:19">
      <c r="D18">
        <f t="shared" si="0"/>
        <v>0</v>
      </c>
      <c r="E18">
        <v>0</v>
      </c>
    </row>
    <row r="19" spans="4:19">
      <c r="D19">
        <f t="shared" si="0"/>
        <v>0</v>
      </c>
      <c r="E19">
        <v>0</v>
      </c>
    </row>
    <row r="20" spans="4:19">
      <c r="D20">
        <f t="shared" si="0"/>
        <v>0</v>
      </c>
      <c r="E20">
        <v>0</v>
      </c>
    </row>
    <row r="21" spans="4:19">
      <c r="D21">
        <f t="shared" si="0"/>
        <v>0</v>
      </c>
      <c r="E21">
        <v>0</v>
      </c>
    </row>
    <row r="22" spans="4:19" ht="22">
      <c r="D22">
        <f t="shared" si="0"/>
        <v>0</v>
      </c>
      <c r="E22">
        <v>0</v>
      </c>
      <c r="K22" s="29" t="s">
        <v>48</v>
      </c>
      <c r="L22" s="29"/>
      <c r="M22" s="29" t="s">
        <v>49</v>
      </c>
      <c r="N22" s="29"/>
    </row>
    <row r="23" spans="4:19" ht="22">
      <c r="D23">
        <f t="shared" si="0"/>
        <v>0</v>
      </c>
      <c r="E23">
        <v>0</v>
      </c>
      <c r="K23" s="24" t="s">
        <v>23</v>
      </c>
      <c r="L23" s="24" t="s">
        <v>2</v>
      </c>
      <c r="M23" s="24" t="s">
        <v>1</v>
      </c>
      <c r="N23" s="24" t="s">
        <v>2</v>
      </c>
    </row>
    <row r="24" spans="4:19">
      <c r="D24">
        <f t="shared" si="0"/>
        <v>0</v>
      </c>
      <c r="E24">
        <v>0</v>
      </c>
      <c r="K24" s="24">
        <v>-5</v>
      </c>
      <c r="L24" s="24">
        <v>-3.863</v>
      </c>
      <c r="M24" s="24">
        <v>-5</v>
      </c>
      <c r="N24" s="24">
        <v>8.7050000000000001</v>
      </c>
    </row>
    <row r="25" spans="4:19">
      <c r="D25">
        <f t="shared" si="0"/>
        <v>0</v>
      </c>
      <c r="E25">
        <v>0</v>
      </c>
      <c r="K25" s="24">
        <v>-4</v>
      </c>
      <c r="L25" s="24">
        <v>-4.2850000000000001</v>
      </c>
      <c r="M25" s="24">
        <v>-4</v>
      </c>
      <c r="N25" s="24">
        <v>6.7130000000000001</v>
      </c>
    </row>
    <row r="26" spans="4:19">
      <c r="D26">
        <f t="shared" si="0"/>
        <v>0</v>
      </c>
      <c r="E26">
        <v>0</v>
      </c>
      <c r="K26" s="24">
        <v>-3</v>
      </c>
      <c r="L26" s="24">
        <v>-4.7069999999999999</v>
      </c>
      <c r="M26" s="24">
        <v>-3</v>
      </c>
      <c r="N26" s="24">
        <v>4.72</v>
      </c>
    </row>
    <row r="27" spans="4:19">
      <c r="D27">
        <f t="shared" si="0"/>
        <v>0</v>
      </c>
      <c r="E27">
        <v>0</v>
      </c>
      <c r="K27" s="24">
        <v>-2</v>
      </c>
      <c r="L27" s="24">
        <v>-5.1289999999999996</v>
      </c>
      <c r="M27" s="24">
        <v>-2</v>
      </c>
      <c r="N27" s="24">
        <v>2.7269999999999999</v>
      </c>
    </row>
    <row r="28" spans="4:19">
      <c r="D28">
        <f t="shared" si="0"/>
        <v>0</v>
      </c>
      <c r="E28">
        <v>0</v>
      </c>
      <c r="K28" s="24">
        <v>-1</v>
      </c>
      <c r="L28" s="24">
        <v>-5.55</v>
      </c>
      <c r="M28" s="24">
        <v>-1</v>
      </c>
      <c r="N28" s="24">
        <v>0.73399999999999999</v>
      </c>
    </row>
    <row r="29" spans="4:19">
      <c r="D29">
        <f t="shared" si="0"/>
        <v>0</v>
      </c>
      <c r="E29">
        <v>0</v>
      </c>
      <c r="K29" s="24">
        <v>0</v>
      </c>
      <c r="L29" s="24">
        <v>-5.9720000000000004</v>
      </c>
      <c r="M29" s="24">
        <v>0</v>
      </c>
      <c r="N29" s="24">
        <v>-1.2589999999999999</v>
      </c>
    </row>
    <row r="30" spans="4:19">
      <c r="D30">
        <f t="shared" si="0"/>
        <v>0</v>
      </c>
      <c r="E30">
        <v>0</v>
      </c>
      <c r="K30" s="24">
        <v>1</v>
      </c>
      <c r="L30" s="24">
        <v>-6.3940000000000001</v>
      </c>
      <c r="M30" s="24">
        <v>1</v>
      </c>
      <c r="N30" s="24">
        <v>-3.2509999999999999</v>
      </c>
    </row>
    <row r="31" spans="4:19">
      <c r="D31">
        <f t="shared" si="0"/>
        <v>0</v>
      </c>
      <c r="E31">
        <v>0</v>
      </c>
      <c r="K31" s="24">
        <v>2</v>
      </c>
      <c r="L31" s="24">
        <v>-6.8159999999999998</v>
      </c>
      <c r="M31" s="24">
        <v>2</v>
      </c>
      <c r="N31" s="24">
        <v>-5.2450000000000001</v>
      </c>
    </row>
    <row r="32" spans="4:19">
      <c r="D32">
        <f t="shared" si="0"/>
        <v>0</v>
      </c>
      <c r="E32">
        <v>0</v>
      </c>
      <c r="K32" s="24">
        <v>3</v>
      </c>
      <c r="L32" s="24">
        <v>-7.2370000000000001</v>
      </c>
      <c r="M32" s="24">
        <v>3</v>
      </c>
      <c r="N32" s="24">
        <v>-7.2370000000000001</v>
      </c>
    </row>
    <row r="33" spans="4:14">
      <c r="D33">
        <f t="shared" si="0"/>
        <v>0</v>
      </c>
      <c r="E33">
        <v>0</v>
      </c>
      <c r="K33" s="24">
        <v>4</v>
      </c>
      <c r="L33" s="24">
        <v>-7.6589999999999998</v>
      </c>
      <c r="M33" s="24">
        <v>4</v>
      </c>
      <c r="N33" s="24">
        <v>-9.2289999999999992</v>
      </c>
    </row>
    <row r="34" spans="4:14">
      <c r="D34">
        <f t="shared" si="0"/>
        <v>0</v>
      </c>
      <c r="E34">
        <v>0</v>
      </c>
      <c r="K34" s="24">
        <v>5</v>
      </c>
      <c r="L34" s="24">
        <v>-8.0809999999999995</v>
      </c>
      <c r="M34" s="24">
        <v>5</v>
      </c>
      <c r="N34" s="24">
        <v>-11.221</v>
      </c>
    </row>
    <row r="35" spans="4:14">
      <c r="D35">
        <f t="shared" si="0"/>
        <v>0</v>
      </c>
      <c r="E35">
        <v>0</v>
      </c>
    </row>
    <row r="36" spans="4:14">
      <c r="D36">
        <f t="shared" si="0"/>
        <v>0</v>
      </c>
      <c r="E36">
        <v>0</v>
      </c>
    </row>
    <row r="37" spans="4:14">
      <c r="D37">
        <f t="shared" si="0"/>
        <v>0</v>
      </c>
      <c r="E37">
        <v>0</v>
      </c>
    </row>
    <row r="38" spans="4:14" ht="22">
      <c r="D38">
        <f t="shared" si="0"/>
        <v>0</v>
      </c>
      <c r="E38">
        <v>0</v>
      </c>
      <c r="J38" s="29" t="s">
        <v>52</v>
      </c>
      <c r="K38" s="29" t="s">
        <v>48</v>
      </c>
      <c r="L38" s="29"/>
      <c r="M38" s="29" t="s">
        <v>49</v>
      </c>
      <c r="N38" s="29"/>
    </row>
    <row r="39" spans="4:14">
      <c r="D39">
        <f t="shared" si="0"/>
        <v>0</v>
      </c>
      <c r="E39">
        <v>0</v>
      </c>
      <c r="J39" s="29"/>
      <c r="K39" s="18" t="s">
        <v>54</v>
      </c>
      <c r="L39" s="18" t="s">
        <v>55</v>
      </c>
      <c r="M39" s="18" t="s">
        <v>54</v>
      </c>
      <c r="N39" s="18" t="s">
        <v>55</v>
      </c>
    </row>
    <row r="40" spans="4:14">
      <c r="D40">
        <f t="shared" si="0"/>
        <v>0</v>
      </c>
      <c r="E40">
        <v>0</v>
      </c>
      <c r="J40" s="18" t="s">
        <v>50</v>
      </c>
      <c r="K40" s="27">
        <f>H15</f>
        <v>-0.42553191489361702</v>
      </c>
      <c r="L40" s="26">
        <f>J15</f>
        <v>-6</v>
      </c>
      <c r="M40" s="27">
        <f>R15</f>
        <v>-2</v>
      </c>
      <c r="N40" s="27">
        <f>T15</f>
        <v>-1.2765957446808511</v>
      </c>
    </row>
    <row r="41" spans="4:14">
      <c r="D41">
        <f t="shared" si="0"/>
        <v>0</v>
      </c>
      <c r="E41">
        <v>0</v>
      </c>
      <c r="J41" s="18" t="s">
        <v>51</v>
      </c>
      <c r="K41" s="27">
        <f>G15</f>
        <v>-0.4217636363636364</v>
      </c>
      <c r="L41" s="26">
        <f>I15</f>
        <v>-5.9720909090909098</v>
      </c>
      <c r="M41" s="27">
        <f>Q15</f>
        <v>-1.992709090909091</v>
      </c>
      <c r="N41" s="27">
        <f>INTERCEPT(O2:O12,N2:N12)</f>
        <v>-1.2584545454545459</v>
      </c>
    </row>
    <row r="42" spans="4:14">
      <c r="D42">
        <f t="shared" si="0"/>
        <v>0</v>
      </c>
      <c r="E42">
        <v>0</v>
      </c>
      <c r="J42" s="18" t="s">
        <v>35</v>
      </c>
      <c r="K42" s="27">
        <f>G17</f>
        <v>0.88554545454544775</v>
      </c>
      <c r="L42" s="26">
        <f>I17</f>
        <v>4.6515151515150359E-3</v>
      </c>
      <c r="M42" s="27">
        <f>Q17</f>
        <v>-0.36454545454545073</v>
      </c>
      <c r="N42" s="27">
        <f>ABS(100*(N40-N41)/N40)</f>
        <v>1.4210606060605735</v>
      </c>
    </row>
    <row r="43" spans="4:14">
      <c r="D43">
        <f t="shared" si="0"/>
        <v>0</v>
      </c>
      <c r="E43">
        <v>0</v>
      </c>
    </row>
    <row r="44" spans="4:14">
      <c r="D44">
        <f t="shared" si="0"/>
        <v>0</v>
      </c>
      <c r="E44">
        <v>0</v>
      </c>
    </row>
    <row r="45" spans="4:14">
      <c r="D45">
        <f t="shared" si="0"/>
        <v>0</v>
      </c>
      <c r="E45">
        <v>0</v>
      </c>
    </row>
    <row r="46" spans="4:14">
      <c r="D46">
        <f t="shared" si="0"/>
        <v>0</v>
      </c>
      <c r="E46">
        <v>0</v>
      </c>
    </row>
    <row r="47" spans="4:14">
      <c r="D47">
        <f t="shared" si="0"/>
        <v>0</v>
      </c>
      <c r="E47">
        <v>0</v>
      </c>
    </row>
    <row r="48" spans="4:14">
      <c r="D48">
        <f t="shared" si="0"/>
        <v>0</v>
      </c>
      <c r="E48">
        <v>0</v>
      </c>
    </row>
    <row r="49" spans="4:5">
      <c r="D49">
        <f t="shared" si="0"/>
        <v>0</v>
      </c>
      <c r="E49">
        <v>0</v>
      </c>
    </row>
    <row r="50" spans="4:5">
      <c r="D50">
        <f t="shared" si="0"/>
        <v>0</v>
      </c>
      <c r="E50">
        <v>0</v>
      </c>
    </row>
  </sheetData>
  <mergeCells count="5">
    <mergeCell ref="K22:L22"/>
    <mergeCell ref="M22:N22"/>
    <mergeCell ref="K38:L38"/>
    <mergeCell ref="M38:N38"/>
    <mergeCell ref="J38:J39"/>
  </mergeCells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89438-2BBE-1346-A1E2-09917D13420F}">
  <dimension ref="A1:AJ50"/>
  <sheetViews>
    <sheetView zoomScale="75" zoomScaleNormal="100" workbookViewId="0">
      <selection activeCell="S16" sqref="S16"/>
    </sheetView>
  </sheetViews>
  <sheetFormatPr baseColWidth="10" defaultColWidth="11.5703125" defaultRowHeight="20"/>
  <cols>
    <col min="4" max="4" width="24" bestFit="1" customWidth="1"/>
  </cols>
  <sheetData>
    <row r="1" spans="1:36" ht="22">
      <c r="A1" t="s">
        <v>0</v>
      </c>
      <c r="B1" t="s">
        <v>31</v>
      </c>
      <c r="C1" t="s">
        <v>2</v>
      </c>
      <c r="D1" t="s">
        <v>3</v>
      </c>
      <c r="E1" t="s">
        <v>4</v>
      </c>
      <c r="F1" s="4" t="s">
        <v>30</v>
      </c>
      <c r="N1" t="s">
        <v>1</v>
      </c>
      <c r="O1" t="s">
        <v>2</v>
      </c>
      <c r="P1" s="4" t="s">
        <v>31</v>
      </c>
      <c r="V1" t="s">
        <v>18</v>
      </c>
      <c r="W1" t="s">
        <v>7</v>
      </c>
      <c r="X1" t="s">
        <v>8</v>
      </c>
      <c r="AF1" t="s">
        <v>19</v>
      </c>
      <c r="AG1" t="s">
        <v>7</v>
      </c>
      <c r="AH1" t="s">
        <v>8</v>
      </c>
    </row>
    <row r="2" spans="1:36" ht="22">
      <c r="A2" t="s">
        <v>57</v>
      </c>
      <c r="B2">
        <v>-5</v>
      </c>
      <c r="C2">
        <v>13.407</v>
      </c>
      <c r="D2">
        <f>(20*(10^3)*B2+(10^4)*C2)/(20*(10^3)+(10^4))</f>
        <v>1.1356666666666666</v>
      </c>
      <c r="E2">
        <v>0</v>
      </c>
      <c r="F2" s="3">
        <v>3</v>
      </c>
      <c r="M2" t="s">
        <v>56</v>
      </c>
      <c r="N2">
        <v>-5</v>
      </c>
      <c r="O2">
        <v>-14.241</v>
      </c>
      <c r="P2" s="3">
        <v>3</v>
      </c>
    </row>
    <row r="3" spans="1:36">
      <c r="B3">
        <v>-4.8</v>
      </c>
      <c r="C3">
        <v>13.407</v>
      </c>
      <c r="D3">
        <f>(20*(10^3)*B7+(10^4)*C7)/(20*(10^3)+(10^4))</f>
        <v>1.8029999999999999</v>
      </c>
      <c r="E3">
        <v>0</v>
      </c>
      <c r="N3">
        <v>-4.8</v>
      </c>
      <c r="O3">
        <v>-14.228</v>
      </c>
    </row>
    <row r="4" spans="1:36">
      <c r="B4">
        <v>-4.5999999999999996</v>
      </c>
      <c r="C4">
        <v>13.407999999999999</v>
      </c>
      <c r="D4">
        <f t="shared" ref="D4:D12" si="0">(20*(10^3)*B12+(10^4)*C12)/(20*(10^3)+(10^4))</f>
        <v>1.9833333333333334</v>
      </c>
      <c r="E4">
        <v>0</v>
      </c>
      <c r="N4">
        <v>-4.5999999999999996</v>
      </c>
      <c r="O4">
        <v>-14.182</v>
      </c>
    </row>
    <row r="5" spans="1:36">
      <c r="B5">
        <v>-4.4000000000000004</v>
      </c>
      <c r="C5">
        <v>13.407999999999999</v>
      </c>
      <c r="D5">
        <f t="shared" si="0"/>
        <v>1.9856666666666671</v>
      </c>
      <c r="E5">
        <v>0</v>
      </c>
      <c r="N5">
        <v>-4.4000000000000004</v>
      </c>
      <c r="O5">
        <v>-14.124000000000001</v>
      </c>
    </row>
    <row r="6" spans="1:36">
      <c r="B6">
        <v>-4.2</v>
      </c>
      <c r="C6">
        <v>13.407999999999999</v>
      </c>
      <c r="D6">
        <f t="shared" si="0"/>
        <v>1.988</v>
      </c>
      <c r="E6">
        <v>0</v>
      </c>
      <c r="N6">
        <v>-4.2</v>
      </c>
      <c r="O6">
        <v>-14.051</v>
      </c>
    </row>
    <row r="7" spans="1:36">
      <c r="B7">
        <v>-4</v>
      </c>
      <c r="C7">
        <v>13.409000000000001</v>
      </c>
      <c r="D7">
        <f t="shared" si="0"/>
        <v>1.9903333333333333</v>
      </c>
      <c r="E7">
        <v>0</v>
      </c>
      <c r="N7">
        <v>-4</v>
      </c>
      <c r="O7">
        <v>-13.914999999999999</v>
      </c>
    </row>
    <row r="8" spans="1:36">
      <c r="B8">
        <v>-3.8</v>
      </c>
      <c r="C8">
        <v>13.407999999999999</v>
      </c>
      <c r="D8">
        <f t="shared" si="0"/>
        <v>1.9926666666666666</v>
      </c>
      <c r="E8">
        <v>0</v>
      </c>
      <c r="N8">
        <v>-3</v>
      </c>
      <c r="O8">
        <v>-11.936</v>
      </c>
    </row>
    <row r="9" spans="1:36">
      <c r="B9">
        <v>-3.6</v>
      </c>
      <c r="C9">
        <v>13.143000000000001</v>
      </c>
      <c r="D9">
        <f t="shared" si="0"/>
        <v>1.9950000000000001</v>
      </c>
      <c r="E9">
        <v>0</v>
      </c>
      <c r="N9">
        <v>-2</v>
      </c>
      <c r="O9">
        <v>-9.9480000000000004</v>
      </c>
    </row>
    <row r="10" spans="1:36">
      <c r="B10">
        <v>-3.4</v>
      </c>
      <c r="C10">
        <v>12.746</v>
      </c>
      <c r="D10">
        <f t="shared" si="0"/>
        <v>2.0026666666666668</v>
      </c>
      <c r="E10">
        <v>0</v>
      </c>
      <c r="N10">
        <v>-1</v>
      </c>
      <c r="O10">
        <v>-7.96</v>
      </c>
    </row>
    <row r="11" spans="1:36">
      <c r="B11">
        <v>-3.2</v>
      </c>
      <c r="C11">
        <v>12.347</v>
      </c>
      <c r="D11">
        <f t="shared" si="0"/>
        <v>1.9996666666666667</v>
      </c>
      <c r="E11">
        <v>0</v>
      </c>
      <c r="N11">
        <v>0</v>
      </c>
      <c r="O11">
        <v>-5.9729999999999999</v>
      </c>
    </row>
    <row r="12" spans="1:36">
      <c r="B12">
        <v>-3</v>
      </c>
      <c r="C12">
        <v>11.95</v>
      </c>
      <c r="D12">
        <f t="shared" si="0"/>
        <v>2.0019999999999998</v>
      </c>
      <c r="E12">
        <v>0</v>
      </c>
      <c r="N12">
        <v>1</v>
      </c>
      <c r="O12">
        <v>-3.9849999999999999</v>
      </c>
    </row>
    <row r="13" spans="1:36">
      <c r="B13">
        <v>-2</v>
      </c>
      <c r="C13">
        <v>9.9570000000000007</v>
      </c>
      <c r="D13" t="e">
        <f>(20*(10^3)*#REF!+(10^4)*#REF!)/(20*(10^3)+(10^4))</f>
        <v>#REF!</v>
      </c>
      <c r="E13">
        <v>0</v>
      </c>
      <c r="N13">
        <v>2</v>
      </c>
      <c r="O13">
        <v>-1.996</v>
      </c>
    </row>
    <row r="14" spans="1:36">
      <c r="B14">
        <v>-1</v>
      </c>
      <c r="C14">
        <v>7.9640000000000004</v>
      </c>
      <c r="D14" t="e">
        <f>(20*(10^3)*#REF!+(10^4)*#REF!)/(20*(10^3)+(10^4))</f>
        <v>#REF!</v>
      </c>
      <c r="E14">
        <v>0</v>
      </c>
      <c r="G14" t="s">
        <v>11</v>
      </c>
      <c r="H14" t="s">
        <v>12</v>
      </c>
      <c r="I14" t="s">
        <v>27</v>
      </c>
      <c r="J14" t="s">
        <v>28</v>
      </c>
      <c r="N14">
        <v>3</v>
      </c>
      <c r="O14">
        <v>-8.0000000000000002E-3</v>
      </c>
      <c r="Q14" t="s">
        <v>11</v>
      </c>
      <c r="R14" t="s">
        <v>12</v>
      </c>
      <c r="S14" t="s">
        <v>27</v>
      </c>
      <c r="T14" t="s">
        <v>28</v>
      </c>
    </row>
    <row r="15" spans="1:36">
      <c r="B15">
        <v>0</v>
      </c>
      <c r="C15">
        <v>5.9710000000000001</v>
      </c>
      <c r="D15" t="e">
        <f>(20*(10^3)*#REF!+(10^4)*#REF!)/(20*(10^3)+(10^4))</f>
        <v>#REF!</v>
      </c>
      <c r="E15">
        <v>0</v>
      </c>
      <c r="G15">
        <f>SLOPE(C8:C20,B8:B20)</f>
        <v>-1.9883805239481351</v>
      </c>
      <c r="H15">
        <v>-2</v>
      </c>
      <c r="I15">
        <f>INTERCEPT(C2:C51,B2:B51)</f>
        <v>5.7303457500846608</v>
      </c>
      <c r="J15">
        <f>-2*F2</f>
        <v>-6</v>
      </c>
      <c r="N15">
        <v>4</v>
      </c>
      <c r="O15">
        <v>1.98</v>
      </c>
      <c r="Q15">
        <f>SLOPE(O7:O50,N7:N50)</f>
        <v>1.9875636363636362</v>
      </c>
      <c r="R15">
        <v>2</v>
      </c>
      <c r="S15">
        <f>INTERCEPT(O7:O50,N7:N50)</f>
        <v>-5.9709818181818193</v>
      </c>
      <c r="T15">
        <f>-2*P2</f>
        <v>-6</v>
      </c>
    </row>
    <row r="16" spans="1:36">
      <c r="B16">
        <v>1</v>
      </c>
      <c r="C16">
        <v>3.9780000000000002</v>
      </c>
      <c r="D16" t="e">
        <f>(20*(10^3)*#REF!+(10^4)*#REF!)/(20*(10^3)+(10^4))</f>
        <v>#REF!</v>
      </c>
      <c r="E16">
        <v>0</v>
      </c>
      <c r="G16" t="s">
        <v>15</v>
      </c>
      <c r="I16" t="s">
        <v>29</v>
      </c>
      <c r="N16">
        <v>5</v>
      </c>
      <c r="O16">
        <v>3.9689999999999999</v>
      </c>
      <c r="Q16" t="s">
        <v>15</v>
      </c>
      <c r="S16" t="s">
        <v>29</v>
      </c>
      <c r="AJ16" t="s">
        <v>16</v>
      </c>
    </row>
    <row r="17" spans="2:19">
      <c r="B17">
        <v>2</v>
      </c>
      <c r="C17">
        <v>1.9850000000000001</v>
      </c>
      <c r="D17" t="e">
        <f>(20*(10^3)*#REF!+(10^4)*#REF!)/(20*(10^3)+(10^4))</f>
        <v>#REF!</v>
      </c>
      <c r="E17">
        <v>0</v>
      </c>
      <c r="G17">
        <f>-100*(ABS(G15-H15))/H15</f>
        <v>0.58097380259324316</v>
      </c>
      <c r="I17">
        <f>ABS((I15-J15)/J15)</f>
        <v>1.9550576250141101</v>
      </c>
      <c r="Q17">
        <f>100*(ABS(Q15-R15))/R15</f>
        <v>0.62181818181819004</v>
      </c>
      <c r="S17">
        <f>ABS((S15-T15)/T15)</f>
        <v>4.8363636363634539E-3</v>
      </c>
    </row>
    <row r="18" spans="2:19">
      <c r="B18">
        <v>3</v>
      </c>
      <c r="C18">
        <v>8.0000000000000002E-3</v>
      </c>
      <c r="D18" t="e">
        <f>(20*(10^3)*#REF!+(10^4)*#REF!)/(20*(10^3)+(10^4))</f>
        <v>#REF!</v>
      </c>
      <c r="E18">
        <v>0</v>
      </c>
    </row>
    <row r="19" spans="2:19">
      <c r="B19">
        <v>4</v>
      </c>
      <c r="C19">
        <v>-2.0009999999999999</v>
      </c>
      <c r="D19" t="e">
        <f>(20*(10^3)*#REF!+(10^4)*#REF!)/(20*(10^3)+(10^4))</f>
        <v>#REF!</v>
      </c>
      <c r="E19">
        <v>0</v>
      </c>
    </row>
    <row r="20" spans="2:19">
      <c r="B20">
        <v>5</v>
      </c>
      <c r="C20">
        <v>-3.9940000000000002</v>
      </c>
      <c r="D20" t="e">
        <f>(20*(10^3)*#REF!+(10^4)*#REF!)/(20*(10^3)+(10^4))</f>
        <v>#REF!</v>
      </c>
      <c r="E20">
        <v>0</v>
      </c>
      <c r="J20" s="29" t="str">
        <f>A2</f>
        <v>Ea1を3Vで固定時</v>
      </c>
      <c r="K20" s="29"/>
      <c r="L20" s="29" t="str">
        <f>M2</f>
        <v>Eb1を3Vで固定時</v>
      </c>
      <c r="M20" s="29"/>
      <c r="O20" s="29" t="s">
        <v>52</v>
      </c>
      <c r="P20" s="29" t="str">
        <f>J20</f>
        <v>Ea1を3Vで固定時</v>
      </c>
      <c r="Q20" s="29"/>
      <c r="R20" s="29" t="str">
        <f>L20</f>
        <v>Eb1を3Vで固定時</v>
      </c>
      <c r="S20" s="29"/>
    </row>
    <row r="21" spans="2:19" ht="22">
      <c r="D21">
        <f t="shared" ref="D21:D50" si="1">(20*(10^3)*B22+(10^4)*C22)/(20*(10^3)+(10^4))</f>
        <v>0</v>
      </c>
      <c r="E21">
        <v>0</v>
      </c>
      <c r="J21" s="18" t="s">
        <v>31</v>
      </c>
      <c r="K21" s="18" t="s">
        <v>2</v>
      </c>
      <c r="L21" s="18" t="s">
        <v>1</v>
      </c>
      <c r="M21" s="18" t="s">
        <v>2</v>
      </c>
      <c r="O21" s="29"/>
      <c r="P21" s="18" t="s">
        <v>53</v>
      </c>
      <c r="Q21" s="18" t="s">
        <v>55</v>
      </c>
      <c r="R21" s="18" t="str">
        <f>P21</f>
        <v>傾き(a)</v>
      </c>
      <c r="S21" s="18" t="str">
        <f>Q21</f>
        <v>切片(b)</v>
      </c>
    </row>
    <row r="22" spans="2:19">
      <c r="D22">
        <f t="shared" si="1"/>
        <v>0</v>
      </c>
      <c r="E22">
        <v>0</v>
      </c>
      <c r="J22" s="18">
        <v>-5</v>
      </c>
      <c r="K22" s="18">
        <v>13.407</v>
      </c>
      <c r="L22" s="18">
        <v>-5</v>
      </c>
      <c r="M22" s="18">
        <v>-14.241</v>
      </c>
      <c r="O22" s="18" t="s">
        <v>50</v>
      </c>
      <c r="P22" s="18">
        <f>H15</f>
        <v>-2</v>
      </c>
      <c r="Q22" s="18">
        <f>J15</f>
        <v>-6</v>
      </c>
      <c r="R22" s="18">
        <f>R15</f>
        <v>2</v>
      </c>
      <c r="S22" s="18">
        <f>T15</f>
        <v>-6</v>
      </c>
    </row>
    <row r="23" spans="2:19">
      <c r="D23">
        <f t="shared" si="1"/>
        <v>0</v>
      </c>
      <c r="E23">
        <v>0</v>
      </c>
      <c r="J23" s="18">
        <v>-4.8</v>
      </c>
      <c r="K23" s="18">
        <v>13.407</v>
      </c>
      <c r="L23" s="18">
        <v>-4.8</v>
      </c>
      <c r="M23" s="18">
        <v>-14.228</v>
      </c>
      <c r="O23" s="18" t="s">
        <v>51</v>
      </c>
      <c r="P23" s="18">
        <f>G15</f>
        <v>-1.9883805239481351</v>
      </c>
      <c r="Q23" s="18">
        <f>I15</f>
        <v>5.7303457500846608</v>
      </c>
      <c r="R23" s="18">
        <f>Q15</f>
        <v>1.9875636363636362</v>
      </c>
      <c r="S23" s="18">
        <f>S15</f>
        <v>-5.9709818181818193</v>
      </c>
    </row>
    <row r="24" spans="2:19">
      <c r="D24">
        <f t="shared" si="1"/>
        <v>0</v>
      </c>
      <c r="E24">
        <v>0</v>
      </c>
      <c r="J24" s="18">
        <v>-4.5999999999999996</v>
      </c>
      <c r="K24" s="18">
        <v>13.407999999999999</v>
      </c>
      <c r="L24" s="18">
        <v>-4.5999999999999996</v>
      </c>
      <c r="M24" s="18">
        <v>-14.182</v>
      </c>
      <c r="O24" s="18" t="s">
        <v>35</v>
      </c>
      <c r="P24" s="18">
        <f>G17</f>
        <v>0.58097380259324316</v>
      </c>
      <c r="Q24" s="18">
        <f>I17</f>
        <v>1.9550576250141101</v>
      </c>
      <c r="R24" s="18">
        <f>Q17</f>
        <v>0.62181818181819004</v>
      </c>
      <c r="S24" s="18">
        <f>S17</f>
        <v>4.8363636363634539E-3</v>
      </c>
    </row>
    <row r="25" spans="2:19">
      <c r="D25">
        <f t="shared" si="1"/>
        <v>0</v>
      </c>
      <c r="E25">
        <v>0</v>
      </c>
      <c r="J25" s="18">
        <v>-4.4000000000000004</v>
      </c>
      <c r="K25" s="18">
        <v>13.407999999999999</v>
      </c>
      <c r="L25" s="18">
        <v>-4.4000000000000004</v>
      </c>
      <c r="M25" s="18">
        <v>-14.124000000000001</v>
      </c>
    </row>
    <row r="26" spans="2:19">
      <c r="D26">
        <f t="shared" si="1"/>
        <v>0</v>
      </c>
      <c r="E26">
        <v>0</v>
      </c>
      <c r="J26" s="18">
        <v>-4.2</v>
      </c>
      <c r="K26" s="18">
        <v>13.407999999999999</v>
      </c>
      <c r="L26" s="18">
        <v>-4.2</v>
      </c>
      <c r="M26" s="18">
        <v>-14.051</v>
      </c>
    </row>
    <row r="27" spans="2:19">
      <c r="D27">
        <f t="shared" si="1"/>
        <v>0</v>
      </c>
      <c r="E27">
        <v>0</v>
      </c>
      <c r="J27" s="18">
        <v>-4</v>
      </c>
      <c r="K27" s="18">
        <v>13.409000000000001</v>
      </c>
      <c r="L27" s="18">
        <v>-4</v>
      </c>
      <c r="M27" s="18">
        <v>-13.914999999999999</v>
      </c>
    </row>
    <row r="28" spans="2:19">
      <c r="D28">
        <f t="shared" si="1"/>
        <v>0</v>
      </c>
      <c r="E28">
        <v>0</v>
      </c>
      <c r="J28" s="18">
        <v>-3.8</v>
      </c>
      <c r="K28" s="18">
        <v>13.407999999999999</v>
      </c>
      <c r="L28" s="28"/>
      <c r="M28" s="28"/>
    </row>
    <row r="29" spans="2:19">
      <c r="D29">
        <f t="shared" si="1"/>
        <v>0</v>
      </c>
      <c r="E29">
        <v>0</v>
      </c>
      <c r="J29" s="18">
        <v>-3.6</v>
      </c>
      <c r="K29" s="18">
        <v>13.143000000000001</v>
      </c>
      <c r="L29" s="28"/>
      <c r="M29" s="28"/>
    </row>
    <row r="30" spans="2:19">
      <c r="D30">
        <f t="shared" si="1"/>
        <v>0</v>
      </c>
      <c r="E30">
        <v>0</v>
      </c>
      <c r="J30" s="18">
        <v>-3.4</v>
      </c>
      <c r="K30" s="18">
        <v>12.746</v>
      </c>
      <c r="L30" s="28"/>
      <c r="M30" s="28"/>
    </row>
    <row r="31" spans="2:19">
      <c r="D31">
        <f t="shared" si="1"/>
        <v>0</v>
      </c>
      <c r="E31">
        <v>0</v>
      </c>
      <c r="J31" s="18">
        <v>-3.2</v>
      </c>
      <c r="K31" s="18">
        <v>12.347</v>
      </c>
      <c r="L31" s="28"/>
      <c r="M31" s="28"/>
    </row>
    <row r="32" spans="2:19">
      <c r="D32">
        <f t="shared" si="1"/>
        <v>0</v>
      </c>
      <c r="E32">
        <v>0</v>
      </c>
      <c r="J32" s="18">
        <v>-3</v>
      </c>
      <c r="K32" s="18">
        <v>11.95</v>
      </c>
      <c r="L32" s="18">
        <v>-3</v>
      </c>
      <c r="M32" s="18">
        <v>-11.936</v>
      </c>
    </row>
    <row r="33" spans="4:13">
      <c r="D33">
        <f t="shared" si="1"/>
        <v>0</v>
      </c>
      <c r="E33">
        <v>0</v>
      </c>
      <c r="J33" s="18">
        <v>-2</v>
      </c>
      <c r="K33" s="18">
        <v>9.9570000000000007</v>
      </c>
      <c r="L33" s="18">
        <v>-2</v>
      </c>
      <c r="M33" s="18">
        <v>-9.9480000000000004</v>
      </c>
    </row>
    <row r="34" spans="4:13">
      <c r="D34">
        <f t="shared" si="1"/>
        <v>0</v>
      </c>
      <c r="E34">
        <v>0</v>
      </c>
      <c r="J34" s="18">
        <v>-1</v>
      </c>
      <c r="K34" s="18">
        <v>7.9640000000000004</v>
      </c>
      <c r="L34" s="18">
        <v>-1</v>
      </c>
      <c r="M34" s="18">
        <v>-7.96</v>
      </c>
    </row>
    <row r="35" spans="4:13">
      <c r="D35">
        <f t="shared" si="1"/>
        <v>0</v>
      </c>
      <c r="E35">
        <v>0</v>
      </c>
      <c r="J35" s="18">
        <v>0</v>
      </c>
      <c r="K35" s="18">
        <v>5.9710000000000001</v>
      </c>
      <c r="L35" s="18">
        <v>0</v>
      </c>
      <c r="M35" s="18">
        <v>-5.9729999999999999</v>
      </c>
    </row>
    <row r="36" spans="4:13">
      <c r="D36">
        <f t="shared" si="1"/>
        <v>0</v>
      </c>
      <c r="E36">
        <v>0</v>
      </c>
      <c r="J36" s="18">
        <v>1</v>
      </c>
      <c r="K36" s="18">
        <v>3.9780000000000002</v>
      </c>
      <c r="L36" s="18">
        <v>1</v>
      </c>
      <c r="M36" s="18">
        <v>-3.9849999999999999</v>
      </c>
    </row>
    <row r="37" spans="4:13">
      <c r="D37">
        <f t="shared" si="1"/>
        <v>0</v>
      </c>
      <c r="E37">
        <v>0</v>
      </c>
      <c r="J37" s="18">
        <v>2</v>
      </c>
      <c r="K37" s="18">
        <v>1.9850000000000001</v>
      </c>
      <c r="L37" s="18">
        <v>2</v>
      </c>
      <c r="M37" s="18">
        <v>-1.996</v>
      </c>
    </row>
    <row r="38" spans="4:13">
      <c r="D38">
        <f t="shared" si="1"/>
        <v>0</v>
      </c>
      <c r="E38">
        <v>0</v>
      </c>
      <c r="J38" s="18">
        <v>3</v>
      </c>
      <c r="K38" s="18">
        <v>8.0000000000000002E-3</v>
      </c>
      <c r="L38" s="18">
        <v>3</v>
      </c>
      <c r="M38" s="18">
        <v>-8.0000000000000002E-3</v>
      </c>
    </row>
    <row r="39" spans="4:13">
      <c r="D39">
        <f t="shared" si="1"/>
        <v>0</v>
      </c>
      <c r="E39">
        <v>0</v>
      </c>
      <c r="J39" s="18">
        <v>4</v>
      </c>
      <c r="K39" s="18">
        <v>-2.0009999999999999</v>
      </c>
      <c r="L39" s="18">
        <v>4</v>
      </c>
      <c r="M39" s="18">
        <v>1.98</v>
      </c>
    </row>
    <row r="40" spans="4:13">
      <c r="D40">
        <f t="shared" si="1"/>
        <v>0</v>
      </c>
      <c r="E40">
        <v>0</v>
      </c>
      <c r="J40" s="18">
        <v>5</v>
      </c>
      <c r="K40" s="18">
        <v>-3.9940000000000002</v>
      </c>
      <c r="L40" s="18">
        <v>5</v>
      </c>
      <c r="M40" s="18">
        <v>3.9689999999999999</v>
      </c>
    </row>
    <row r="41" spans="4:13">
      <c r="D41">
        <f t="shared" si="1"/>
        <v>0</v>
      </c>
      <c r="E41">
        <v>0</v>
      </c>
    </row>
    <row r="42" spans="4:13">
      <c r="D42">
        <f t="shared" si="1"/>
        <v>0</v>
      </c>
      <c r="E42">
        <v>0</v>
      </c>
    </row>
    <row r="43" spans="4:13">
      <c r="D43">
        <f t="shared" si="1"/>
        <v>0</v>
      </c>
      <c r="E43">
        <v>0</v>
      </c>
    </row>
    <row r="44" spans="4:13">
      <c r="D44">
        <f t="shared" si="1"/>
        <v>0</v>
      </c>
      <c r="E44">
        <v>0</v>
      </c>
    </row>
    <row r="45" spans="4:13">
      <c r="D45">
        <f t="shared" si="1"/>
        <v>0</v>
      </c>
      <c r="E45">
        <v>0</v>
      </c>
    </row>
    <row r="46" spans="4:13">
      <c r="D46">
        <f t="shared" si="1"/>
        <v>0</v>
      </c>
      <c r="E46">
        <v>0</v>
      </c>
    </row>
    <row r="47" spans="4:13">
      <c r="D47">
        <f t="shared" si="1"/>
        <v>0</v>
      </c>
      <c r="E47">
        <v>0</v>
      </c>
    </row>
    <row r="48" spans="4:13">
      <c r="D48">
        <f t="shared" si="1"/>
        <v>0</v>
      </c>
      <c r="E48">
        <v>0</v>
      </c>
    </row>
    <row r="49" spans="4:5">
      <c r="D49">
        <f t="shared" si="1"/>
        <v>0</v>
      </c>
      <c r="E49">
        <v>0</v>
      </c>
    </row>
    <row r="50" spans="4:5">
      <c r="D50">
        <f t="shared" si="1"/>
        <v>0</v>
      </c>
      <c r="E50">
        <v>0</v>
      </c>
    </row>
  </sheetData>
  <mergeCells count="5">
    <mergeCell ref="J20:K20"/>
    <mergeCell ref="L20:M20"/>
    <mergeCell ref="P20:Q20"/>
    <mergeCell ref="R20:S20"/>
    <mergeCell ref="O20:O21"/>
  </mergeCells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A181-A4F7-154C-AD66-8F3701631B6F}">
  <dimension ref="A1:AJ50"/>
  <sheetViews>
    <sheetView zoomScaleNormal="100" workbookViewId="0">
      <selection activeCell="B2" sqref="B2:B12"/>
    </sheetView>
  </sheetViews>
  <sheetFormatPr baseColWidth="10" defaultColWidth="11.5703125" defaultRowHeight="20"/>
  <cols>
    <col min="4" max="4" width="24" bestFit="1" customWidth="1"/>
  </cols>
  <sheetData>
    <row r="1" spans="1:36" ht="22">
      <c r="A1" t="s">
        <v>0</v>
      </c>
      <c r="B1" t="s">
        <v>1</v>
      </c>
      <c r="C1" t="s">
        <v>2</v>
      </c>
      <c r="D1" t="s">
        <v>3</v>
      </c>
      <c r="E1" t="s">
        <v>4</v>
      </c>
      <c r="M1" t="s">
        <v>17</v>
      </c>
      <c r="N1" t="s">
        <v>1</v>
      </c>
      <c r="O1" t="s">
        <v>2</v>
      </c>
      <c r="V1" t="s">
        <v>18</v>
      </c>
      <c r="W1" t="s">
        <v>7</v>
      </c>
      <c r="X1" t="s">
        <v>8</v>
      </c>
      <c r="AF1" t="s">
        <v>19</v>
      </c>
      <c r="AG1" t="s">
        <v>7</v>
      </c>
      <c r="AH1" t="s">
        <v>8</v>
      </c>
    </row>
    <row r="2" spans="1:36">
      <c r="A2" t="s">
        <v>10</v>
      </c>
      <c r="B2" s="16">
        <v>-5</v>
      </c>
      <c r="C2" s="1">
        <v>9.9710000000000001</v>
      </c>
      <c r="D2" s="25">
        <f t="shared" ref="D2:D12" si="0">(20*(10^3)*B2+(10^4)*C2)/(20*(10^3)+(10^4))</f>
        <v>-9.6666666666666672E-3</v>
      </c>
      <c r="E2">
        <v>0</v>
      </c>
      <c r="N2">
        <v>-5</v>
      </c>
      <c r="O2">
        <v>10.012</v>
      </c>
      <c r="W2">
        <v>-5</v>
      </c>
      <c r="X2">
        <v>10.002000000000001</v>
      </c>
      <c r="AG2">
        <v>-5</v>
      </c>
      <c r="AH2">
        <v>10.013999999999999</v>
      </c>
    </row>
    <row r="3" spans="1:36">
      <c r="B3" s="16">
        <v>-4</v>
      </c>
      <c r="C3" s="1">
        <v>7.9779999999999998</v>
      </c>
      <c r="D3" s="25">
        <f t="shared" si="0"/>
        <v>-7.3333333333333332E-3</v>
      </c>
      <c r="E3">
        <v>0</v>
      </c>
      <c r="N3">
        <v>-4</v>
      </c>
      <c r="O3">
        <v>8.01</v>
      </c>
      <c r="W3">
        <v>-4</v>
      </c>
      <c r="X3" s="17">
        <v>8.01</v>
      </c>
      <c r="AG3">
        <v>-4</v>
      </c>
      <c r="AH3">
        <v>8.0109999999999992</v>
      </c>
    </row>
    <row r="4" spans="1:36">
      <c r="B4" s="16">
        <v>-3</v>
      </c>
      <c r="C4" s="1">
        <v>5.9850000000000003</v>
      </c>
      <c r="D4" s="25">
        <f t="shared" si="0"/>
        <v>-5.0000000000000001E-3</v>
      </c>
      <c r="E4">
        <v>0</v>
      </c>
      <c r="N4">
        <v>-3</v>
      </c>
      <c r="O4">
        <v>6.008</v>
      </c>
      <c r="W4">
        <v>-3</v>
      </c>
      <c r="X4">
        <v>6.008</v>
      </c>
      <c r="AG4">
        <v>-3</v>
      </c>
      <c r="AH4">
        <v>6.0090000000000003</v>
      </c>
    </row>
    <row r="5" spans="1:36">
      <c r="B5" s="16">
        <v>-2</v>
      </c>
      <c r="C5" s="1">
        <v>3.992</v>
      </c>
      <c r="D5" s="25">
        <f t="shared" si="0"/>
        <v>-2.6666666666666666E-3</v>
      </c>
      <c r="E5">
        <v>0</v>
      </c>
      <c r="N5">
        <v>-2</v>
      </c>
      <c r="O5">
        <v>4.0060000000000002</v>
      </c>
      <c r="W5">
        <v>-2</v>
      </c>
      <c r="X5">
        <v>4.0060000000000002</v>
      </c>
      <c r="AG5">
        <v>-2</v>
      </c>
      <c r="AH5">
        <v>4.0060000000000002</v>
      </c>
    </row>
    <row r="6" spans="1:36">
      <c r="B6" s="16">
        <v>-1</v>
      </c>
      <c r="C6" s="1">
        <v>1.9990000000000001</v>
      </c>
      <c r="D6" s="25">
        <f t="shared" si="0"/>
        <v>-3.3333333333333332E-4</v>
      </c>
      <c r="E6">
        <v>0</v>
      </c>
      <c r="N6">
        <v>-1</v>
      </c>
      <c r="O6">
        <v>2.004</v>
      </c>
      <c r="W6">
        <v>-1</v>
      </c>
      <c r="X6">
        <v>2.004</v>
      </c>
      <c r="AG6">
        <v>-1</v>
      </c>
      <c r="AH6">
        <v>2.004</v>
      </c>
    </row>
    <row r="7" spans="1:36">
      <c r="B7" s="16">
        <v>0</v>
      </c>
      <c r="C7" s="1">
        <v>6.0000000000000001E-3</v>
      </c>
      <c r="D7" s="25">
        <f t="shared" si="0"/>
        <v>2E-3</v>
      </c>
      <c r="E7">
        <v>0</v>
      </c>
      <c r="N7">
        <v>0</v>
      </c>
      <c r="O7">
        <v>1.8259999999999999E-3</v>
      </c>
      <c r="W7">
        <v>0</v>
      </c>
      <c r="X7">
        <v>1.856E-3</v>
      </c>
      <c r="AG7">
        <v>0</v>
      </c>
      <c r="AH7">
        <v>1.7690000000000001E-2</v>
      </c>
    </row>
    <row r="8" spans="1:36">
      <c r="B8" s="16">
        <v>1</v>
      </c>
      <c r="C8" s="1">
        <v>-1.9870000000000001</v>
      </c>
      <c r="D8" s="25">
        <f t="shared" si="0"/>
        <v>4.3333333333333331E-3</v>
      </c>
      <c r="E8">
        <v>0</v>
      </c>
      <c r="N8">
        <v>1</v>
      </c>
      <c r="O8">
        <v>-2.0009999999999999</v>
      </c>
      <c r="W8">
        <v>1</v>
      </c>
      <c r="X8">
        <v>-2.0009999999999999</v>
      </c>
      <c r="AG8">
        <v>1</v>
      </c>
      <c r="AH8">
        <v>-2.0009999999999999</v>
      </c>
    </row>
    <row r="9" spans="1:36">
      <c r="B9" s="16">
        <v>2</v>
      </c>
      <c r="C9" s="1">
        <v>-3.98</v>
      </c>
      <c r="D9" s="25">
        <f t="shared" si="0"/>
        <v>6.6666666666666671E-3</v>
      </c>
      <c r="E9">
        <v>0</v>
      </c>
      <c r="N9">
        <v>2</v>
      </c>
      <c r="O9">
        <v>-4.0030000000000001</v>
      </c>
      <c r="W9">
        <v>2</v>
      </c>
      <c r="X9">
        <v>-4.0030000000000001</v>
      </c>
      <c r="AG9">
        <v>2</v>
      </c>
      <c r="AH9">
        <v>-4.0039999999999996</v>
      </c>
    </row>
    <row r="10" spans="1:36">
      <c r="B10" s="16">
        <v>3</v>
      </c>
      <c r="C10" s="1">
        <v>-5.9729999999999999</v>
      </c>
      <c r="D10" s="25">
        <f t="shared" si="0"/>
        <v>8.9999999999999993E-3</v>
      </c>
      <c r="E10">
        <v>0</v>
      </c>
      <c r="N10">
        <v>3</v>
      </c>
      <c r="O10">
        <v>-6.0049999999999999</v>
      </c>
      <c r="W10">
        <v>3</v>
      </c>
      <c r="X10">
        <v>-6.0049999999999999</v>
      </c>
      <c r="AG10">
        <v>3</v>
      </c>
      <c r="AH10">
        <v>-6.0060000000000002</v>
      </c>
    </row>
    <row r="11" spans="1:36">
      <c r="B11" s="16">
        <v>4</v>
      </c>
      <c r="C11" s="1">
        <v>-7.9660000000000002</v>
      </c>
      <c r="D11" s="25">
        <f t="shared" si="0"/>
        <v>1.1333333333333334E-2</v>
      </c>
      <c r="E11">
        <v>0</v>
      </c>
      <c r="N11">
        <v>4</v>
      </c>
      <c r="O11">
        <v>-8.0069999999999997</v>
      </c>
      <c r="W11">
        <v>4</v>
      </c>
      <c r="X11">
        <v>-8.0069999999999997</v>
      </c>
      <c r="AG11">
        <v>4</v>
      </c>
      <c r="AH11">
        <v>-8.0079999999999991</v>
      </c>
    </row>
    <row r="12" spans="1:36">
      <c r="B12" s="16">
        <v>5</v>
      </c>
      <c r="C12" s="1">
        <v>-9.9589999999999996</v>
      </c>
      <c r="D12" s="25">
        <f t="shared" si="0"/>
        <v>1.3666666666666667E-2</v>
      </c>
      <c r="E12">
        <v>0</v>
      </c>
      <c r="N12">
        <v>5</v>
      </c>
      <c r="O12">
        <v>-10.009</v>
      </c>
      <c r="W12">
        <v>5</v>
      </c>
      <c r="X12">
        <v>-10.009</v>
      </c>
      <c r="AG12">
        <v>5</v>
      </c>
      <c r="AH12">
        <v>-10.01</v>
      </c>
    </row>
    <row r="13" spans="1:36">
      <c r="D13">
        <f t="shared" ref="D13:D33" si="1">(20*(10^3)*B13+(10^4)*C13)/(20*(10^3)+(10^4))</f>
        <v>0</v>
      </c>
      <c r="E13">
        <v>0</v>
      </c>
    </row>
    <row r="14" spans="1:36">
      <c r="D14">
        <f t="shared" si="1"/>
        <v>0</v>
      </c>
      <c r="E14">
        <v>0</v>
      </c>
      <c r="G14" t="s">
        <v>11</v>
      </c>
      <c r="H14" t="s">
        <v>12</v>
      </c>
      <c r="I14" t="s">
        <v>13</v>
      </c>
      <c r="J14" t="s">
        <v>14</v>
      </c>
      <c r="K14" t="s">
        <v>15</v>
      </c>
    </row>
    <row r="15" spans="1:36">
      <c r="D15">
        <f t="shared" si="1"/>
        <v>0</v>
      </c>
      <c r="E15">
        <v>0</v>
      </c>
      <c r="G15">
        <f>SLOPE(C2:C50,B2:B50)</f>
        <v>-1.9930000000000001</v>
      </c>
      <c r="H15">
        <v>-2</v>
      </c>
      <c r="I15">
        <f>INTERCEPT(C2:C50,B2:B50)</f>
        <v>5.9999999999995812E-3</v>
      </c>
      <c r="J15">
        <v>0</v>
      </c>
      <c r="K15">
        <f>-100*(ABS(G15-H15))/H15</f>
        <v>0.34999999999999476</v>
      </c>
    </row>
    <row r="16" spans="1:36">
      <c r="D16">
        <f t="shared" si="1"/>
        <v>0</v>
      </c>
      <c r="E16">
        <v>0</v>
      </c>
      <c r="AJ16" t="s">
        <v>16</v>
      </c>
    </row>
    <row r="17" spans="4:7">
      <c r="D17">
        <f t="shared" si="1"/>
        <v>0</v>
      </c>
      <c r="E17">
        <v>0</v>
      </c>
    </row>
    <row r="18" spans="4:7">
      <c r="D18">
        <f t="shared" si="1"/>
        <v>0</v>
      </c>
      <c r="E18">
        <v>0</v>
      </c>
    </row>
    <row r="19" spans="4:7">
      <c r="D19">
        <f t="shared" si="1"/>
        <v>0</v>
      </c>
      <c r="E19">
        <v>0</v>
      </c>
    </row>
    <row r="20" spans="4:7">
      <c r="D20">
        <f t="shared" si="1"/>
        <v>0</v>
      </c>
      <c r="E20">
        <v>0</v>
      </c>
    </row>
    <row r="21" spans="4:7">
      <c r="D21">
        <f t="shared" si="1"/>
        <v>0</v>
      </c>
      <c r="E21">
        <v>0</v>
      </c>
    </row>
    <row r="22" spans="4:7">
      <c r="D22">
        <f t="shared" si="1"/>
        <v>0</v>
      </c>
      <c r="E22">
        <v>0</v>
      </c>
    </row>
    <row r="23" spans="4:7">
      <c r="D23">
        <f t="shared" si="1"/>
        <v>0</v>
      </c>
      <c r="E23">
        <v>0</v>
      </c>
    </row>
    <row r="24" spans="4:7">
      <c r="D24">
        <f t="shared" si="1"/>
        <v>0</v>
      </c>
      <c r="E24">
        <v>0</v>
      </c>
    </row>
    <row r="25" spans="4:7">
      <c r="D25">
        <f t="shared" si="1"/>
        <v>0</v>
      </c>
      <c r="E25">
        <v>0</v>
      </c>
    </row>
    <row r="26" spans="4:7">
      <c r="D26">
        <f t="shared" si="1"/>
        <v>0</v>
      </c>
      <c r="E26">
        <v>0</v>
      </c>
    </row>
    <row r="27" spans="4:7">
      <c r="D27">
        <f t="shared" si="1"/>
        <v>0</v>
      </c>
      <c r="E27">
        <v>0</v>
      </c>
    </row>
    <row r="28" spans="4:7">
      <c r="D28">
        <f t="shared" si="1"/>
        <v>0</v>
      </c>
      <c r="E28">
        <v>0</v>
      </c>
      <c r="G28" t="s">
        <v>34</v>
      </c>
    </row>
    <row r="29" spans="4:7">
      <c r="D29">
        <f t="shared" si="1"/>
        <v>0</v>
      </c>
      <c r="E29">
        <v>0</v>
      </c>
    </row>
    <row r="30" spans="4:7">
      <c r="D30">
        <f t="shared" si="1"/>
        <v>0</v>
      </c>
      <c r="E30">
        <v>0</v>
      </c>
    </row>
    <row r="31" spans="4:7">
      <c r="D31">
        <f t="shared" si="1"/>
        <v>0</v>
      </c>
      <c r="E31">
        <v>0</v>
      </c>
    </row>
    <row r="32" spans="4:7">
      <c r="D32">
        <f t="shared" si="1"/>
        <v>0</v>
      </c>
      <c r="E32">
        <v>0</v>
      </c>
    </row>
    <row r="33" spans="4:5">
      <c r="D33">
        <f t="shared" si="1"/>
        <v>0</v>
      </c>
      <c r="E33">
        <v>0</v>
      </c>
    </row>
    <row r="34" spans="4:5">
      <c r="D34">
        <f t="shared" ref="D34:D50" si="2">(20*(10^3)*B34+(10^4)*C34)/(20*(10^3)+(10^4))</f>
        <v>0</v>
      </c>
      <c r="E34">
        <v>0</v>
      </c>
    </row>
    <row r="35" spans="4:5">
      <c r="D35">
        <f t="shared" si="2"/>
        <v>0</v>
      </c>
      <c r="E35">
        <v>0</v>
      </c>
    </row>
    <row r="36" spans="4:5">
      <c r="D36">
        <f t="shared" si="2"/>
        <v>0</v>
      </c>
      <c r="E36">
        <v>0</v>
      </c>
    </row>
    <row r="37" spans="4:5">
      <c r="D37">
        <f t="shared" si="2"/>
        <v>0</v>
      </c>
      <c r="E37">
        <v>0</v>
      </c>
    </row>
    <row r="38" spans="4:5">
      <c r="D38">
        <f t="shared" si="2"/>
        <v>0</v>
      </c>
      <c r="E38">
        <v>0</v>
      </c>
    </row>
    <row r="39" spans="4:5">
      <c r="D39">
        <f t="shared" si="2"/>
        <v>0</v>
      </c>
      <c r="E39">
        <v>0</v>
      </c>
    </row>
    <row r="40" spans="4:5">
      <c r="D40">
        <f t="shared" si="2"/>
        <v>0</v>
      </c>
      <c r="E40">
        <v>0</v>
      </c>
    </row>
    <row r="41" spans="4:5">
      <c r="D41">
        <f t="shared" si="2"/>
        <v>0</v>
      </c>
      <c r="E41">
        <v>0</v>
      </c>
    </row>
    <row r="42" spans="4:5">
      <c r="D42">
        <f t="shared" si="2"/>
        <v>0</v>
      </c>
      <c r="E42">
        <v>0</v>
      </c>
    </row>
    <row r="43" spans="4:5">
      <c r="D43">
        <f t="shared" si="2"/>
        <v>0</v>
      </c>
      <c r="E43">
        <v>0</v>
      </c>
    </row>
    <row r="44" spans="4:5">
      <c r="D44">
        <f t="shared" si="2"/>
        <v>0</v>
      </c>
      <c r="E44">
        <v>0</v>
      </c>
    </row>
    <row r="45" spans="4:5">
      <c r="D45">
        <f t="shared" si="2"/>
        <v>0</v>
      </c>
      <c r="E45">
        <v>0</v>
      </c>
    </row>
    <row r="46" spans="4:5">
      <c r="D46">
        <f t="shared" si="2"/>
        <v>0</v>
      </c>
      <c r="E46">
        <v>0</v>
      </c>
    </row>
    <row r="47" spans="4:5">
      <c r="D47">
        <f t="shared" si="2"/>
        <v>0</v>
      </c>
      <c r="E47">
        <v>0</v>
      </c>
    </row>
    <row r="48" spans="4:5">
      <c r="D48">
        <f t="shared" si="2"/>
        <v>0</v>
      </c>
      <c r="E48">
        <v>0</v>
      </c>
    </row>
    <row r="49" spans="4:5">
      <c r="D49">
        <f t="shared" si="2"/>
        <v>0</v>
      </c>
      <c r="E49">
        <v>0</v>
      </c>
    </row>
    <row r="50" spans="4:5">
      <c r="D50">
        <f t="shared" si="2"/>
        <v>0</v>
      </c>
      <c r="E50">
        <v>0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EB529-FBF9-1F47-B824-4EE43A58E358}">
  <dimension ref="A1:AJ50"/>
  <sheetViews>
    <sheetView topLeftCell="N1" zoomScale="95" zoomScaleNormal="75" workbookViewId="0">
      <selection activeCell="AJ12" sqref="AJ12:AJ14"/>
    </sheetView>
  </sheetViews>
  <sheetFormatPr baseColWidth="10" defaultColWidth="11.5703125" defaultRowHeight="20"/>
  <cols>
    <col min="4" max="4" width="24" bestFit="1" customWidth="1"/>
  </cols>
  <sheetData>
    <row r="1" spans="1:36" ht="22">
      <c r="A1" t="s">
        <v>0</v>
      </c>
      <c r="B1" t="s">
        <v>1</v>
      </c>
      <c r="C1" t="s">
        <v>2</v>
      </c>
      <c r="D1" t="s">
        <v>3</v>
      </c>
      <c r="E1" t="s">
        <v>4</v>
      </c>
      <c r="M1" t="s">
        <v>17</v>
      </c>
      <c r="N1" t="s">
        <v>1</v>
      </c>
      <c r="O1" t="s">
        <v>2</v>
      </c>
      <c r="V1" t="s">
        <v>18</v>
      </c>
      <c r="W1" t="s">
        <v>7</v>
      </c>
      <c r="X1" t="s">
        <v>8</v>
      </c>
      <c r="AF1" t="s">
        <v>19</v>
      </c>
      <c r="AG1" t="s">
        <v>7</v>
      </c>
      <c r="AH1" t="s">
        <v>8</v>
      </c>
    </row>
    <row r="2" spans="1:36">
      <c r="A2" t="s">
        <v>10</v>
      </c>
      <c r="B2">
        <v>-5</v>
      </c>
      <c r="C2">
        <v>-14.196999999999999</v>
      </c>
      <c r="D2">
        <f>10/(10+20)*C2</f>
        <v>-4.7323333333333331</v>
      </c>
      <c r="E2">
        <f>B2</f>
        <v>-5</v>
      </c>
      <c r="N2">
        <v>-5</v>
      </c>
      <c r="O2">
        <v>-13.305999999999999</v>
      </c>
      <c r="W2">
        <v>-5</v>
      </c>
      <c r="X2">
        <v>-11.919</v>
      </c>
      <c r="AG2">
        <v>-5</v>
      </c>
      <c r="AH2">
        <v>-10.878</v>
      </c>
    </row>
    <row r="3" spans="1:36">
      <c r="B3">
        <v>-4.8</v>
      </c>
      <c r="C3">
        <v>-14.093999999999999</v>
      </c>
      <c r="D3">
        <f t="shared" ref="D3:D26" si="0">10/(10+20)*C3</f>
        <v>-4.6979999999999995</v>
      </c>
      <c r="E3">
        <f t="shared" ref="E3:E26" si="1">B3</f>
        <v>-4.8</v>
      </c>
      <c r="N3">
        <v>-4.8</v>
      </c>
      <c r="O3">
        <v>-13.268000000000001</v>
      </c>
      <c r="W3">
        <v>-4.8</v>
      </c>
      <c r="X3">
        <v>-11.919</v>
      </c>
      <c r="AG3">
        <v>-4</v>
      </c>
      <c r="AH3">
        <v>-10.805999999999999</v>
      </c>
    </row>
    <row r="4" spans="1:36">
      <c r="B4">
        <v>-4.5999999999999996</v>
      </c>
      <c r="C4">
        <v>-13.805999999999999</v>
      </c>
      <c r="D4">
        <f t="shared" si="0"/>
        <v>-4.6019999999999994</v>
      </c>
      <c r="E4">
        <f t="shared" si="1"/>
        <v>-4.5999999999999996</v>
      </c>
      <c r="N4">
        <v>-4.5999999999999996</v>
      </c>
      <c r="O4">
        <v>-13.260999999999999</v>
      </c>
      <c r="W4">
        <v>-4.5999999999999996</v>
      </c>
      <c r="X4">
        <v>-11.917</v>
      </c>
      <c r="AG4">
        <v>-3.8</v>
      </c>
      <c r="AH4">
        <v>-10.706</v>
      </c>
    </row>
    <row r="5" spans="1:36">
      <c r="B5">
        <v>-4.4000000000000004</v>
      </c>
      <c r="C5">
        <v>-13.206</v>
      </c>
      <c r="D5">
        <f t="shared" si="0"/>
        <v>-4.4019999999999992</v>
      </c>
      <c r="E5">
        <f t="shared" si="1"/>
        <v>-4.4000000000000004</v>
      </c>
      <c r="N5">
        <v>-4.4000000000000004</v>
      </c>
      <c r="O5">
        <v>-13.206</v>
      </c>
      <c r="W5">
        <v>-4.4000000000000004</v>
      </c>
      <c r="X5">
        <v>-11.916</v>
      </c>
      <c r="AG5">
        <v>-3.6</v>
      </c>
      <c r="AH5">
        <v>-10.702</v>
      </c>
    </row>
    <row r="6" spans="1:36">
      <c r="B6">
        <v>-4.2</v>
      </c>
      <c r="C6">
        <v>-12.606</v>
      </c>
      <c r="D6">
        <f t="shared" si="0"/>
        <v>-4.202</v>
      </c>
      <c r="E6">
        <f t="shared" si="1"/>
        <v>-4.2</v>
      </c>
      <c r="N6">
        <v>-4.2</v>
      </c>
      <c r="O6">
        <v>-12.606</v>
      </c>
      <c r="W6">
        <v>-4.2</v>
      </c>
      <c r="X6">
        <v>-11.914</v>
      </c>
      <c r="AG6">
        <v>-3.4</v>
      </c>
      <c r="AH6">
        <v>-10.201000000000001</v>
      </c>
    </row>
    <row r="7" spans="1:36">
      <c r="B7">
        <v>-4</v>
      </c>
      <c r="C7">
        <v>-12.005000000000001</v>
      </c>
      <c r="D7">
        <f t="shared" si="0"/>
        <v>-4.0016666666666669</v>
      </c>
      <c r="E7">
        <f t="shared" si="1"/>
        <v>-4</v>
      </c>
      <c r="N7">
        <v>-4</v>
      </c>
      <c r="O7">
        <v>-12.006</v>
      </c>
      <c r="W7">
        <v>-4</v>
      </c>
      <c r="X7">
        <v>-11.996</v>
      </c>
      <c r="AG7">
        <v>-3.2</v>
      </c>
      <c r="AH7">
        <v>-9.6010000000000009</v>
      </c>
    </row>
    <row r="8" spans="1:36">
      <c r="B8">
        <v>-3.8</v>
      </c>
      <c r="C8">
        <v>-11.404999999999999</v>
      </c>
      <c r="D8">
        <f t="shared" si="0"/>
        <v>-3.8016666666666663</v>
      </c>
      <c r="E8">
        <f t="shared" si="1"/>
        <v>-3.8</v>
      </c>
      <c r="N8">
        <v>-3.8</v>
      </c>
      <c r="O8">
        <v>-11.406000000000001</v>
      </c>
      <c r="W8">
        <v>-3.8</v>
      </c>
      <c r="X8">
        <v>-11.404999999999999</v>
      </c>
      <c r="AG8">
        <v>-3</v>
      </c>
      <c r="AH8">
        <v>-9.0039999999999996</v>
      </c>
    </row>
    <row r="9" spans="1:36">
      <c r="B9">
        <v>-3.6</v>
      </c>
      <c r="C9">
        <v>-10.805</v>
      </c>
      <c r="D9">
        <f t="shared" si="0"/>
        <v>-3.6016666666666666</v>
      </c>
      <c r="E9">
        <f t="shared" si="1"/>
        <v>-3.6</v>
      </c>
      <c r="N9">
        <v>-3.6</v>
      </c>
      <c r="O9">
        <v>-10.805</v>
      </c>
      <c r="W9">
        <v>-3.6</v>
      </c>
      <c r="X9">
        <v>-10.804</v>
      </c>
      <c r="AG9">
        <v>-2</v>
      </c>
      <c r="AH9">
        <v>-6.0019999999999998</v>
      </c>
    </row>
    <row r="10" spans="1:36">
      <c r="B10">
        <v>-3.4</v>
      </c>
      <c r="C10">
        <v>-10.204000000000001</v>
      </c>
      <c r="D10">
        <f t="shared" si="0"/>
        <v>-3.4013333333333335</v>
      </c>
      <c r="E10">
        <f t="shared" si="1"/>
        <v>-3.4</v>
      </c>
      <c r="N10">
        <v>-3.4</v>
      </c>
      <c r="O10">
        <v>-10.205</v>
      </c>
      <c r="W10">
        <v>-3.4</v>
      </c>
      <c r="X10">
        <v>-10.204000000000001</v>
      </c>
      <c r="AG10">
        <v>-1</v>
      </c>
      <c r="AH10">
        <v>-3</v>
      </c>
    </row>
    <row r="11" spans="1:36">
      <c r="B11">
        <v>-3</v>
      </c>
      <c r="C11">
        <v>-9.0039999999999996</v>
      </c>
      <c r="D11">
        <f t="shared" si="0"/>
        <v>-3.0013333333333332</v>
      </c>
      <c r="E11">
        <f t="shared" si="1"/>
        <v>-3</v>
      </c>
      <c r="N11">
        <v>-3</v>
      </c>
      <c r="O11">
        <v>-9.0039999999999996</v>
      </c>
      <c r="W11">
        <v>-3</v>
      </c>
      <c r="X11">
        <v>-9.0039999999999996</v>
      </c>
      <c r="AG11">
        <v>0</v>
      </c>
      <c r="AH11">
        <v>1.944E-3</v>
      </c>
    </row>
    <row r="12" spans="1:36">
      <c r="B12">
        <v>-2</v>
      </c>
      <c r="C12">
        <v>-6.0019999999999998</v>
      </c>
      <c r="D12">
        <f t="shared" si="0"/>
        <v>-2.0006666666666666</v>
      </c>
      <c r="E12">
        <f t="shared" si="1"/>
        <v>-2</v>
      </c>
      <c r="N12">
        <v>-2</v>
      </c>
      <c r="O12">
        <v>-6.0030000000000001</v>
      </c>
      <c r="W12">
        <v>-2</v>
      </c>
      <c r="X12">
        <v>-6.0030000000000001</v>
      </c>
      <c r="AG12">
        <v>1</v>
      </c>
      <c r="AH12">
        <v>3.0030000000000001</v>
      </c>
    </row>
    <row r="13" spans="1:36">
      <c r="B13">
        <v>-1</v>
      </c>
      <c r="C13">
        <v>-3.0019999999999998</v>
      </c>
      <c r="D13">
        <f t="shared" si="0"/>
        <v>-1.0006666666666666</v>
      </c>
      <c r="E13">
        <f t="shared" si="1"/>
        <v>-1</v>
      </c>
      <c r="N13">
        <v>-1</v>
      </c>
      <c r="O13">
        <v>-3.0009999999999999</v>
      </c>
      <c r="W13">
        <v>-1</v>
      </c>
      <c r="X13">
        <v>-3.0009999999999999</v>
      </c>
      <c r="AG13">
        <v>2</v>
      </c>
      <c r="AH13">
        <v>6.0049999999999999</v>
      </c>
    </row>
    <row r="14" spans="1:36">
      <c r="B14">
        <v>0</v>
      </c>
      <c r="C14">
        <v>1.7700000000000001E-3</v>
      </c>
      <c r="D14">
        <f t="shared" si="0"/>
        <v>5.9000000000000003E-4</v>
      </c>
      <c r="E14">
        <f t="shared" si="1"/>
        <v>0</v>
      </c>
      <c r="G14" t="s">
        <v>11</v>
      </c>
      <c r="H14" t="s">
        <v>12</v>
      </c>
      <c r="I14" t="s">
        <v>13</v>
      </c>
      <c r="J14" t="s">
        <v>14</v>
      </c>
      <c r="K14" t="s">
        <v>15</v>
      </c>
      <c r="N14">
        <v>0</v>
      </c>
      <c r="O14">
        <v>1.8259999999999999E-3</v>
      </c>
      <c r="W14">
        <v>0</v>
      </c>
      <c r="X14">
        <v>1.787E-3</v>
      </c>
      <c r="AG14">
        <v>3</v>
      </c>
      <c r="AH14">
        <v>9.0060000000000002</v>
      </c>
    </row>
    <row r="15" spans="1:36">
      <c r="B15">
        <v>1</v>
      </c>
      <c r="C15">
        <v>3.0030000000000001</v>
      </c>
      <c r="D15">
        <f t="shared" si="0"/>
        <v>1.0009999999999999</v>
      </c>
      <c r="E15">
        <f t="shared" si="1"/>
        <v>1</v>
      </c>
      <c r="G15">
        <f>SLOPE(C2:C50,B2:B50)</f>
        <v>2.9447539392555377</v>
      </c>
      <c r="H15">
        <v>3</v>
      </c>
      <c r="I15">
        <f>INTERCEPT(C2:C50,B2:B50)</f>
        <v>-7.1689200000001035E-2</v>
      </c>
      <c r="J15">
        <v>0</v>
      </c>
      <c r="K15">
        <f>100*(ABS(G15-H15))/H15</f>
        <v>1.8415353581487419</v>
      </c>
      <c r="N15">
        <v>1</v>
      </c>
      <c r="O15">
        <v>3.004</v>
      </c>
      <c r="W15">
        <v>1</v>
      </c>
      <c r="X15">
        <v>3.004</v>
      </c>
      <c r="AG15">
        <v>3.2</v>
      </c>
      <c r="AH15">
        <v>9.6059999999999999</v>
      </c>
    </row>
    <row r="16" spans="1:36">
      <c r="B16">
        <v>2</v>
      </c>
      <c r="C16">
        <v>6.0049999999999999</v>
      </c>
      <c r="D16">
        <f t="shared" si="0"/>
        <v>2.0016666666666665</v>
      </c>
      <c r="E16">
        <f t="shared" si="1"/>
        <v>2</v>
      </c>
      <c r="N16">
        <v>2</v>
      </c>
      <c r="O16">
        <v>6.0049999999999999</v>
      </c>
      <c r="W16">
        <v>2</v>
      </c>
      <c r="X16">
        <v>6.0060000000000002</v>
      </c>
      <c r="AG16">
        <v>3.4</v>
      </c>
      <c r="AH16">
        <v>10.206</v>
      </c>
      <c r="AJ16" t="s">
        <v>16</v>
      </c>
    </row>
    <row r="17" spans="2:34">
      <c r="B17">
        <v>3</v>
      </c>
      <c r="C17">
        <v>9.0069999999999997</v>
      </c>
      <c r="D17">
        <f t="shared" si="0"/>
        <v>3.0023333333333331</v>
      </c>
      <c r="E17">
        <f t="shared" si="1"/>
        <v>3</v>
      </c>
      <c r="N17">
        <v>3</v>
      </c>
      <c r="O17">
        <v>9.0069999999999997</v>
      </c>
      <c r="W17">
        <v>3</v>
      </c>
      <c r="X17">
        <v>9.0069999999999997</v>
      </c>
      <c r="AG17">
        <v>3.6</v>
      </c>
      <c r="AH17">
        <v>10.805999999999999</v>
      </c>
    </row>
    <row r="18" spans="2:34">
      <c r="B18">
        <v>3.4</v>
      </c>
      <c r="C18">
        <v>10.207000000000001</v>
      </c>
      <c r="D18">
        <f t="shared" si="0"/>
        <v>3.4023333333333334</v>
      </c>
      <c r="E18">
        <f t="shared" si="1"/>
        <v>3.4</v>
      </c>
      <c r="N18">
        <v>3.4</v>
      </c>
      <c r="O18">
        <v>10.208</v>
      </c>
      <c r="W18">
        <v>3.4</v>
      </c>
      <c r="X18">
        <v>10.207000000000001</v>
      </c>
      <c r="AG18">
        <v>3.8</v>
      </c>
      <c r="AH18">
        <v>11.406000000000001</v>
      </c>
    </row>
    <row r="19" spans="2:34">
      <c r="B19">
        <v>3.6</v>
      </c>
      <c r="C19">
        <v>10.808</v>
      </c>
      <c r="D19">
        <f t="shared" si="0"/>
        <v>3.6026666666666665</v>
      </c>
      <c r="E19">
        <f t="shared" si="1"/>
        <v>3.6</v>
      </c>
      <c r="N19">
        <v>3.6</v>
      </c>
      <c r="O19">
        <v>10.808</v>
      </c>
      <c r="W19">
        <v>3.6</v>
      </c>
      <c r="X19">
        <v>10.808</v>
      </c>
      <c r="AG19">
        <v>4</v>
      </c>
      <c r="AH19">
        <v>12.007999999999999</v>
      </c>
    </row>
    <row r="20" spans="2:34">
      <c r="B20">
        <v>3.8</v>
      </c>
      <c r="C20">
        <v>11.407999999999999</v>
      </c>
      <c r="D20">
        <f t="shared" si="0"/>
        <v>3.8026666666666662</v>
      </c>
      <c r="E20">
        <f t="shared" si="1"/>
        <v>3.8</v>
      </c>
      <c r="N20">
        <v>3.8</v>
      </c>
      <c r="O20">
        <v>11.407999999999999</v>
      </c>
      <c r="W20">
        <v>3.8</v>
      </c>
      <c r="X20">
        <v>11.407999999999999</v>
      </c>
      <c r="AG20">
        <v>4.2</v>
      </c>
      <c r="AH20">
        <v>12.414999999999999</v>
      </c>
    </row>
    <row r="21" spans="2:34">
      <c r="B21">
        <v>4</v>
      </c>
      <c r="C21">
        <v>12.007999999999999</v>
      </c>
      <c r="D21">
        <f t="shared" si="0"/>
        <v>4.0026666666666664</v>
      </c>
      <c r="E21">
        <f t="shared" si="1"/>
        <v>4</v>
      </c>
      <c r="N21">
        <v>4</v>
      </c>
      <c r="O21">
        <v>12.009</v>
      </c>
      <c r="W21">
        <v>4</v>
      </c>
      <c r="X21">
        <v>12.009</v>
      </c>
      <c r="AG21">
        <v>4.4000000000000004</v>
      </c>
      <c r="AH21">
        <v>12.416</v>
      </c>
    </row>
    <row r="22" spans="2:34">
      <c r="B22">
        <v>4.2</v>
      </c>
      <c r="C22">
        <v>12.608000000000001</v>
      </c>
      <c r="D22">
        <f t="shared" si="0"/>
        <v>4.2026666666666666</v>
      </c>
      <c r="E22">
        <f t="shared" si="1"/>
        <v>4.2</v>
      </c>
      <c r="N22">
        <v>4.2</v>
      </c>
      <c r="O22">
        <v>12.609</v>
      </c>
      <c r="W22">
        <v>4.2</v>
      </c>
      <c r="X22">
        <v>12.608000000000001</v>
      </c>
      <c r="AG22">
        <v>4.5999999999999996</v>
      </c>
      <c r="AH22">
        <v>12.417999999999999</v>
      </c>
    </row>
    <row r="23" spans="2:34">
      <c r="B23">
        <v>4.4000000000000004</v>
      </c>
      <c r="C23">
        <v>13.207000000000001</v>
      </c>
      <c r="D23">
        <f t="shared" si="0"/>
        <v>4.402333333333333</v>
      </c>
      <c r="E23">
        <f t="shared" si="1"/>
        <v>4.4000000000000004</v>
      </c>
      <c r="N23">
        <v>4.4000000000000004</v>
      </c>
      <c r="O23">
        <v>13.205</v>
      </c>
      <c r="W23">
        <v>4.4000000000000004</v>
      </c>
      <c r="X23">
        <v>12.787000000000001</v>
      </c>
      <c r="AG23">
        <v>5</v>
      </c>
      <c r="AH23">
        <v>12.414999999999999</v>
      </c>
    </row>
    <row r="24" spans="2:34">
      <c r="B24">
        <v>4.5999999999999996</v>
      </c>
      <c r="C24">
        <v>13.427</v>
      </c>
      <c r="D24">
        <f t="shared" si="0"/>
        <v>4.4756666666666662</v>
      </c>
      <c r="E24">
        <f t="shared" si="1"/>
        <v>4.5999999999999996</v>
      </c>
      <c r="N24">
        <v>4.5999999999999996</v>
      </c>
      <c r="O24">
        <v>13.234999999999999</v>
      </c>
      <c r="W24">
        <v>4.5999999999999996</v>
      </c>
      <c r="X24">
        <v>12.787000000000001</v>
      </c>
    </row>
    <row r="25" spans="2:34">
      <c r="B25">
        <v>4.8</v>
      </c>
      <c r="C25">
        <v>13.427</v>
      </c>
      <c r="D25">
        <f t="shared" si="0"/>
        <v>4.4756666666666662</v>
      </c>
      <c r="E25">
        <f t="shared" si="1"/>
        <v>4.8</v>
      </c>
      <c r="N25">
        <v>4.8</v>
      </c>
      <c r="O25">
        <v>13.234</v>
      </c>
      <c r="W25">
        <v>4.8</v>
      </c>
      <c r="X25">
        <v>12.787000000000001</v>
      </c>
    </row>
    <row r="26" spans="2:34">
      <c r="B26">
        <v>5</v>
      </c>
      <c r="C26">
        <v>13.427</v>
      </c>
      <c r="D26">
        <f t="shared" si="0"/>
        <v>4.4756666666666662</v>
      </c>
      <c r="E26">
        <f t="shared" si="1"/>
        <v>5</v>
      </c>
      <c r="N26">
        <v>5</v>
      </c>
      <c r="O26">
        <v>13.234</v>
      </c>
      <c r="W26">
        <v>5</v>
      </c>
      <c r="X26">
        <v>12.787000000000001</v>
      </c>
    </row>
    <row r="27" spans="2:34">
      <c r="D27">
        <f t="shared" ref="D27:D33" si="2">(20*(10^3)*B27+(10^4)*C27)/(20*(10^3)+(10^4))</f>
        <v>0</v>
      </c>
      <c r="E27">
        <v>0</v>
      </c>
    </row>
    <row r="28" spans="2:34">
      <c r="D28">
        <f t="shared" si="2"/>
        <v>0</v>
      </c>
      <c r="E28">
        <v>0</v>
      </c>
    </row>
    <row r="29" spans="2:34">
      <c r="D29">
        <f t="shared" si="2"/>
        <v>0</v>
      </c>
      <c r="E29">
        <v>0</v>
      </c>
    </row>
    <row r="30" spans="2:34">
      <c r="D30">
        <f t="shared" si="2"/>
        <v>0</v>
      </c>
      <c r="E30">
        <v>0</v>
      </c>
    </row>
    <row r="31" spans="2:34">
      <c r="D31">
        <f t="shared" si="2"/>
        <v>0</v>
      </c>
      <c r="E31">
        <v>0</v>
      </c>
    </row>
    <row r="32" spans="2:34">
      <c r="D32">
        <f t="shared" si="2"/>
        <v>0</v>
      </c>
      <c r="E32">
        <v>0</v>
      </c>
    </row>
    <row r="33" spans="4:5">
      <c r="D33">
        <f t="shared" si="2"/>
        <v>0</v>
      </c>
      <c r="E33">
        <v>0</v>
      </c>
    </row>
    <row r="34" spans="4:5">
      <c r="D34">
        <f t="shared" ref="D34:D50" si="3">(20*(10^3)*B34+(10^4)*C34)/(20*(10^3)+(10^4))</f>
        <v>0</v>
      </c>
      <c r="E34">
        <v>0</v>
      </c>
    </row>
    <row r="35" spans="4:5">
      <c r="D35">
        <f t="shared" si="3"/>
        <v>0</v>
      </c>
      <c r="E35">
        <v>0</v>
      </c>
    </row>
    <row r="36" spans="4:5">
      <c r="D36">
        <f t="shared" si="3"/>
        <v>0</v>
      </c>
      <c r="E36">
        <v>0</v>
      </c>
    </row>
    <row r="37" spans="4:5">
      <c r="D37">
        <f t="shared" si="3"/>
        <v>0</v>
      </c>
      <c r="E37">
        <v>0</v>
      </c>
    </row>
    <row r="38" spans="4:5">
      <c r="D38">
        <f t="shared" si="3"/>
        <v>0</v>
      </c>
      <c r="E38">
        <v>0</v>
      </c>
    </row>
    <row r="39" spans="4:5">
      <c r="D39">
        <f t="shared" si="3"/>
        <v>0</v>
      </c>
      <c r="E39">
        <v>0</v>
      </c>
    </row>
    <row r="40" spans="4:5">
      <c r="D40">
        <f t="shared" si="3"/>
        <v>0</v>
      </c>
      <c r="E40">
        <v>0</v>
      </c>
    </row>
    <row r="41" spans="4:5">
      <c r="D41">
        <f t="shared" si="3"/>
        <v>0</v>
      </c>
      <c r="E41">
        <v>0</v>
      </c>
    </row>
    <row r="42" spans="4:5">
      <c r="D42">
        <f t="shared" si="3"/>
        <v>0</v>
      </c>
      <c r="E42">
        <v>0</v>
      </c>
    </row>
    <row r="43" spans="4:5">
      <c r="D43">
        <f t="shared" si="3"/>
        <v>0</v>
      </c>
      <c r="E43">
        <v>0</v>
      </c>
    </row>
    <row r="44" spans="4:5">
      <c r="D44">
        <f t="shared" si="3"/>
        <v>0</v>
      </c>
      <c r="E44">
        <v>0</v>
      </c>
    </row>
    <row r="45" spans="4:5">
      <c r="D45">
        <f t="shared" si="3"/>
        <v>0</v>
      </c>
      <c r="E45">
        <v>0</v>
      </c>
    </row>
    <row r="46" spans="4:5">
      <c r="D46">
        <f t="shared" si="3"/>
        <v>0</v>
      </c>
      <c r="E46">
        <v>0</v>
      </c>
    </row>
    <row r="47" spans="4:5">
      <c r="D47">
        <f t="shared" si="3"/>
        <v>0</v>
      </c>
      <c r="E47">
        <v>0</v>
      </c>
    </row>
    <row r="48" spans="4:5">
      <c r="D48">
        <f t="shared" si="3"/>
        <v>0</v>
      </c>
      <c r="E48">
        <v>0</v>
      </c>
    </row>
    <row r="49" spans="4:5">
      <c r="D49">
        <f t="shared" si="3"/>
        <v>0</v>
      </c>
      <c r="E49">
        <v>0</v>
      </c>
    </row>
    <row r="50" spans="4:5">
      <c r="D50">
        <f t="shared" si="3"/>
        <v>0</v>
      </c>
      <c r="E50">
        <v>0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6F5C-19FB-224E-BF1F-293C34F8962F}">
  <dimension ref="A1:AQ50"/>
  <sheetViews>
    <sheetView zoomScale="75" zoomScaleNormal="75" workbookViewId="0">
      <selection activeCell="O2" sqref="O2"/>
    </sheetView>
  </sheetViews>
  <sheetFormatPr baseColWidth="10" defaultColWidth="11.5703125" defaultRowHeight="20"/>
  <cols>
    <col min="4" max="4" width="24" bestFit="1" customWidth="1"/>
  </cols>
  <sheetData>
    <row r="1" spans="1:43" ht="22">
      <c r="A1" t="s">
        <v>0</v>
      </c>
      <c r="B1" t="s">
        <v>1</v>
      </c>
      <c r="C1" t="s">
        <v>2</v>
      </c>
      <c r="D1" t="s">
        <v>3</v>
      </c>
      <c r="E1" t="s">
        <v>4</v>
      </c>
      <c r="M1" t="s">
        <v>17</v>
      </c>
      <c r="N1" t="s">
        <v>1</v>
      </c>
      <c r="O1" t="s">
        <v>2</v>
      </c>
      <c r="V1" t="s">
        <v>18</v>
      </c>
      <c r="W1" t="s">
        <v>7</v>
      </c>
      <c r="X1" t="s">
        <v>8</v>
      </c>
      <c r="AF1" t="s">
        <v>19</v>
      </c>
      <c r="AG1" t="s">
        <v>7</v>
      </c>
      <c r="AH1" t="s">
        <v>8</v>
      </c>
      <c r="AP1" t="s">
        <v>22</v>
      </c>
    </row>
    <row r="2" spans="1:43">
      <c r="A2" t="s">
        <v>10</v>
      </c>
      <c r="B2">
        <v>-10</v>
      </c>
      <c r="C2" s="1">
        <v>-10</v>
      </c>
      <c r="D2">
        <f t="shared" ref="D2:D33" si="0">(20*(10^3)*B2+(10^4)*C2)/(20*(10^3)+(10^4))</f>
        <v>-10</v>
      </c>
      <c r="E2">
        <v>0</v>
      </c>
      <c r="AG2">
        <v>-10</v>
      </c>
      <c r="AH2">
        <v>-9.9979999999999993</v>
      </c>
      <c r="AP2">
        <f t="shared" ref="AP2:AP22" si="1">750*(AH2-C2)/AH2</f>
        <v>-0.15003000600125035</v>
      </c>
      <c r="AQ2" s="3">
        <f>AVERAGE(AP2:AP22)</f>
        <v>0.29956840403433849</v>
      </c>
    </row>
    <row r="3" spans="1:43">
      <c r="B3">
        <v>-9</v>
      </c>
      <c r="C3" s="1">
        <v>-9</v>
      </c>
      <c r="D3">
        <f t="shared" si="0"/>
        <v>-9</v>
      </c>
      <c r="E3">
        <v>0</v>
      </c>
      <c r="AG3">
        <v>-9</v>
      </c>
      <c r="AH3" s="1">
        <v>-9</v>
      </c>
      <c r="AP3">
        <f t="shared" si="1"/>
        <v>0</v>
      </c>
    </row>
    <row r="4" spans="1:43">
      <c r="B4">
        <v>-8</v>
      </c>
      <c r="C4" s="1">
        <v>-8</v>
      </c>
      <c r="D4">
        <f t="shared" si="0"/>
        <v>-8</v>
      </c>
      <c r="E4">
        <v>0</v>
      </c>
      <c r="AG4">
        <v>-8</v>
      </c>
      <c r="AH4" s="1">
        <v>-8</v>
      </c>
      <c r="AP4">
        <f t="shared" si="1"/>
        <v>0</v>
      </c>
    </row>
    <row r="5" spans="1:43">
      <c r="B5">
        <v>-7</v>
      </c>
      <c r="C5" s="1">
        <v>-7</v>
      </c>
      <c r="D5">
        <f t="shared" si="0"/>
        <v>-7</v>
      </c>
      <c r="E5">
        <v>0</v>
      </c>
      <c r="AG5">
        <v>-7</v>
      </c>
      <c r="AH5" s="1">
        <v>-7</v>
      </c>
      <c r="AP5">
        <f t="shared" si="1"/>
        <v>0</v>
      </c>
    </row>
    <row r="6" spans="1:43">
      <c r="B6">
        <v>-6</v>
      </c>
      <c r="C6" s="1">
        <v>-6</v>
      </c>
      <c r="D6">
        <f t="shared" si="0"/>
        <v>-6</v>
      </c>
      <c r="E6">
        <v>0</v>
      </c>
      <c r="AG6">
        <v>-6</v>
      </c>
      <c r="AH6" s="1">
        <v>-6</v>
      </c>
      <c r="AP6">
        <f t="shared" si="1"/>
        <v>0</v>
      </c>
    </row>
    <row r="7" spans="1:43">
      <c r="B7">
        <v>-5</v>
      </c>
      <c r="C7" s="1">
        <v>-5</v>
      </c>
      <c r="D7">
        <f t="shared" si="0"/>
        <v>-5</v>
      </c>
      <c r="E7">
        <v>0</v>
      </c>
      <c r="AG7">
        <v>-5</v>
      </c>
      <c r="AH7" s="1">
        <v>-5</v>
      </c>
      <c r="AP7">
        <f t="shared" si="1"/>
        <v>0</v>
      </c>
    </row>
    <row r="8" spans="1:43">
      <c r="B8">
        <v>-4</v>
      </c>
      <c r="C8" s="1">
        <v>-4</v>
      </c>
      <c r="D8">
        <f t="shared" si="0"/>
        <v>-4</v>
      </c>
      <c r="E8">
        <v>0</v>
      </c>
      <c r="AG8">
        <v>-4</v>
      </c>
      <c r="AH8" s="1">
        <v>-4</v>
      </c>
      <c r="AP8">
        <f t="shared" si="1"/>
        <v>0</v>
      </c>
    </row>
    <row r="9" spans="1:43">
      <c r="B9">
        <v>-3</v>
      </c>
      <c r="C9" s="1">
        <v>-3</v>
      </c>
      <c r="D9">
        <f t="shared" si="0"/>
        <v>-3</v>
      </c>
      <c r="E9">
        <v>0</v>
      </c>
      <c r="AG9">
        <v>-3</v>
      </c>
      <c r="AH9" s="1">
        <v>-3</v>
      </c>
      <c r="AP9">
        <f t="shared" si="1"/>
        <v>0</v>
      </c>
    </row>
    <row r="10" spans="1:43">
      <c r="B10">
        <v>-2</v>
      </c>
      <c r="C10" s="1">
        <v>-2</v>
      </c>
      <c r="D10">
        <f t="shared" si="0"/>
        <v>-2</v>
      </c>
      <c r="E10">
        <v>0</v>
      </c>
      <c r="AG10">
        <v>-2</v>
      </c>
      <c r="AH10" s="1">
        <v>-2</v>
      </c>
      <c r="AP10">
        <f t="shared" si="1"/>
        <v>0</v>
      </c>
    </row>
    <row r="11" spans="1:43">
      <c r="B11">
        <v>-1</v>
      </c>
      <c r="C11" s="1">
        <v>-0.99399999999999999</v>
      </c>
      <c r="D11">
        <f t="shared" si="0"/>
        <v>-0.998</v>
      </c>
      <c r="E11">
        <v>0</v>
      </c>
      <c r="AG11">
        <v>-1</v>
      </c>
      <c r="AH11" s="2">
        <v>-0.99939999999999996</v>
      </c>
      <c r="AP11">
        <f t="shared" si="1"/>
        <v>4.0524314588752954</v>
      </c>
    </row>
    <row r="12" spans="1:43">
      <c r="B12">
        <v>0</v>
      </c>
      <c r="C12" s="5">
        <v>6.2600000000000004E-4</v>
      </c>
      <c r="D12">
        <f t="shared" si="0"/>
        <v>2.0866666666666668E-4</v>
      </c>
      <c r="E12">
        <v>0</v>
      </c>
      <c r="AG12">
        <v>0</v>
      </c>
      <c r="AH12" s="5">
        <v>6.2799999999999998E-4</v>
      </c>
      <c r="AP12">
        <f t="shared" si="1"/>
        <v>2.3885350318470624</v>
      </c>
    </row>
    <row r="13" spans="1:43">
      <c r="B13">
        <v>1</v>
      </c>
      <c r="C13" s="2">
        <v>1.0006999999999999</v>
      </c>
      <c r="D13">
        <f t="shared" si="0"/>
        <v>1.0002333333333333</v>
      </c>
      <c r="E13">
        <v>0</v>
      </c>
      <c r="AG13">
        <v>1</v>
      </c>
      <c r="AH13" s="2">
        <v>1.0006999999999999</v>
      </c>
      <c r="AP13">
        <f t="shared" si="1"/>
        <v>0</v>
      </c>
    </row>
    <row r="14" spans="1:43">
      <c r="B14">
        <v>2</v>
      </c>
      <c r="C14" s="1">
        <v>2</v>
      </c>
      <c r="D14">
        <f t="shared" si="0"/>
        <v>2</v>
      </c>
      <c r="E14">
        <v>0</v>
      </c>
      <c r="G14" t="s">
        <v>11</v>
      </c>
      <c r="H14" t="s">
        <v>12</v>
      </c>
      <c r="I14" t="s">
        <v>13</v>
      </c>
      <c r="J14" t="s">
        <v>14</v>
      </c>
      <c r="AG14">
        <v>2</v>
      </c>
      <c r="AH14" s="1">
        <v>2</v>
      </c>
      <c r="AP14">
        <f t="shared" si="1"/>
        <v>0</v>
      </c>
    </row>
    <row r="15" spans="1:43">
      <c r="B15">
        <v>3</v>
      </c>
      <c r="C15" s="1">
        <v>3</v>
      </c>
      <c r="D15">
        <f t="shared" si="0"/>
        <v>3</v>
      </c>
      <c r="E15">
        <v>0</v>
      </c>
      <c r="G15">
        <f>SLOPE(C2:C50,B2:B50)</f>
        <v>0.99999311688311698</v>
      </c>
      <c r="H15">
        <v>-2</v>
      </c>
      <c r="I15">
        <f>INTERCEPT(C2:C50,B2:B50)</f>
        <v>3.4885714285709789E-4</v>
      </c>
      <c r="J15">
        <v>0</v>
      </c>
      <c r="AG15">
        <v>3</v>
      </c>
      <c r="AH15" s="1">
        <v>3</v>
      </c>
      <c r="AP15">
        <f t="shared" si="1"/>
        <v>0</v>
      </c>
    </row>
    <row r="16" spans="1:43">
      <c r="B16">
        <v>4</v>
      </c>
      <c r="C16" s="1">
        <v>4</v>
      </c>
      <c r="D16">
        <f t="shared" si="0"/>
        <v>4</v>
      </c>
      <c r="E16">
        <v>0</v>
      </c>
      <c r="G16" t="s">
        <v>15</v>
      </c>
      <c r="AG16">
        <v>4</v>
      </c>
      <c r="AH16" s="1">
        <v>4</v>
      </c>
      <c r="AJ16" t="s">
        <v>16</v>
      </c>
      <c r="AP16">
        <f t="shared" si="1"/>
        <v>0</v>
      </c>
    </row>
    <row r="17" spans="2:42">
      <c r="B17">
        <v>5</v>
      </c>
      <c r="C17" s="1">
        <v>5</v>
      </c>
      <c r="D17">
        <f t="shared" si="0"/>
        <v>5</v>
      </c>
      <c r="E17">
        <v>0</v>
      </c>
      <c r="G17">
        <f>100*(ABS(G15-H15))/H15</f>
        <v>-149.99965584415585</v>
      </c>
      <c r="AG17">
        <v>5</v>
      </c>
      <c r="AH17" s="1">
        <v>5</v>
      </c>
      <c r="AP17">
        <f t="shared" si="1"/>
        <v>0</v>
      </c>
    </row>
    <row r="18" spans="2:42">
      <c r="B18">
        <v>6</v>
      </c>
      <c r="C18" s="1">
        <v>6</v>
      </c>
      <c r="D18">
        <f t="shared" si="0"/>
        <v>6</v>
      </c>
      <c r="E18">
        <v>0</v>
      </c>
      <c r="AG18">
        <v>6</v>
      </c>
      <c r="AH18" s="1">
        <v>6</v>
      </c>
      <c r="AP18">
        <f t="shared" si="1"/>
        <v>0</v>
      </c>
    </row>
    <row r="19" spans="2:42">
      <c r="B19">
        <v>7</v>
      </c>
      <c r="C19" s="1">
        <v>7</v>
      </c>
      <c r="D19">
        <f t="shared" si="0"/>
        <v>7</v>
      </c>
      <c r="E19">
        <v>0</v>
      </c>
      <c r="AG19">
        <v>7</v>
      </c>
      <c r="AH19" s="1">
        <v>7</v>
      </c>
      <c r="AP19">
        <f t="shared" si="1"/>
        <v>0</v>
      </c>
    </row>
    <row r="20" spans="2:42">
      <c r="B20">
        <v>8</v>
      </c>
      <c r="C20" s="1">
        <v>8</v>
      </c>
      <c r="D20">
        <f t="shared" si="0"/>
        <v>8</v>
      </c>
      <c r="E20">
        <v>0</v>
      </c>
      <c r="AG20">
        <v>8</v>
      </c>
      <c r="AH20" s="1">
        <v>8</v>
      </c>
      <c r="AP20">
        <f t="shared" si="1"/>
        <v>0</v>
      </c>
    </row>
    <row r="21" spans="2:42">
      <c r="B21">
        <v>9</v>
      </c>
      <c r="C21" s="1">
        <v>9</v>
      </c>
      <c r="D21">
        <f t="shared" si="0"/>
        <v>9</v>
      </c>
      <c r="E21">
        <v>0</v>
      </c>
      <c r="AG21">
        <v>9</v>
      </c>
      <c r="AH21" s="1">
        <v>9</v>
      </c>
      <c r="AP21">
        <f t="shared" si="1"/>
        <v>0</v>
      </c>
    </row>
    <row r="22" spans="2:42">
      <c r="B22">
        <v>10</v>
      </c>
      <c r="C22" s="1">
        <v>10</v>
      </c>
      <c r="D22">
        <f t="shared" si="0"/>
        <v>10</v>
      </c>
      <c r="E22">
        <v>0</v>
      </c>
      <c r="AG22">
        <v>10</v>
      </c>
      <c r="AH22" s="1">
        <v>10</v>
      </c>
      <c r="AP22">
        <f t="shared" si="1"/>
        <v>0</v>
      </c>
    </row>
    <row r="23" spans="2:42">
      <c r="D23">
        <f t="shared" si="0"/>
        <v>0</v>
      </c>
      <c r="E23">
        <v>0</v>
      </c>
    </row>
    <row r="24" spans="2:42">
      <c r="D24">
        <f t="shared" si="0"/>
        <v>0</v>
      </c>
      <c r="E24">
        <v>0</v>
      </c>
    </row>
    <row r="25" spans="2:42">
      <c r="D25">
        <f t="shared" si="0"/>
        <v>0</v>
      </c>
      <c r="E25">
        <v>0</v>
      </c>
    </row>
    <row r="26" spans="2:42">
      <c r="D26">
        <f t="shared" si="0"/>
        <v>0</v>
      </c>
      <c r="E26">
        <v>0</v>
      </c>
    </row>
    <row r="27" spans="2:42">
      <c r="D27">
        <f t="shared" si="0"/>
        <v>0</v>
      </c>
      <c r="E27">
        <v>0</v>
      </c>
    </row>
    <row r="28" spans="2:42">
      <c r="D28">
        <f t="shared" si="0"/>
        <v>0</v>
      </c>
      <c r="E28">
        <v>0</v>
      </c>
    </row>
    <row r="29" spans="2:42">
      <c r="D29">
        <f t="shared" si="0"/>
        <v>0</v>
      </c>
      <c r="E29">
        <v>0</v>
      </c>
    </row>
    <row r="30" spans="2:42">
      <c r="D30">
        <f t="shared" si="0"/>
        <v>0</v>
      </c>
      <c r="E30">
        <v>0</v>
      </c>
    </row>
    <row r="31" spans="2:42">
      <c r="D31">
        <f t="shared" si="0"/>
        <v>0</v>
      </c>
      <c r="E31">
        <v>0</v>
      </c>
    </row>
    <row r="32" spans="2:42">
      <c r="D32">
        <f t="shared" si="0"/>
        <v>0</v>
      </c>
      <c r="E32">
        <v>0</v>
      </c>
    </row>
    <row r="33" spans="4:5">
      <c r="D33">
        <f t="shared" si="0"/>
        <v>0</v>
      </c>
      <c r="E33">
        <v>0</v>
      </c>
    </row>
    <row r="34" spans="4:5">
      <c r="D34">
        <f t="shared" ref="D34:D50" si="2">(20*(10^3)*B34+(10^4)*C34)/(20*(10^3)+(10^4))</f>
        <v>0</v>
      </c>
      <c r="E34">
        <v>0</v>
      </c>
    </row>
    <row r="35" spans="4:5">
      <c r="D35">
        <f t="shared" si="2"/>
        <v>0</v>
      </c>
      <c r="E35">
        <v>0</v>
      </c>
    </row>
    <row r="36" spans="4:5">
      <c r="D36">
        <f t="shared" si="2"/>
        <v>0</v>
      </c>
      <c r="E36">
        <v>0</v>
      </c>
    </row>
    <row r="37" spans="4:5">
      <c r="D37">
        <f t="shared" si="2"/>
        <v>0</v>
      </c>
      <c r="E37">
        <v>0</v>
      </c>
    </row>
    <row r="38" spans="4:5">
      <c r="D38">
        <f t="shared" si="2"/>
        <v>0</v>
      </c>
      <c r="E38">
        <v>0</v>
      </c>
    </row>
    <row r="39" spans="4:5">
      <c r="D39">
        <f t="shared" si="2"/>
        <v>0</v>
      </c>
      <c r="E39">
        <v>0</v>
      </c>
    </row>
    <row r="40" spans="4:5">
      <c r="D40">
        <f t="shared" si="2"/>
        <v>0</v>
      </c>
      <c r="E40">
        <v>0</v>
      </c>
    </row>
    <row r="41" spans="4:5">
      <c r="D41">
        <f t="shared" si="2"/>
        <v>0</v>
      </c>
      <c r="E41">
        <v>0</v>
      </c>
    </row>
    <row r="42" spans="4:5">
      <c r="D42">
        <f t="shared" si="2"/>
        <v>0</v>
      </c>
      <c r="E42">
        <v>0</v>
      </c>
    </row>
    <row r="43" spans="4:5">
      <c r="D43">
        <f t="shared" si="2"/>
        <v>0</v>
      </c>
      <c r="E43">
        <v>0</v>
      </c>
    </row>
    <row r="44" spans="4:5">
      <c r="D44">
        <f t="shared" si="2"/>
        <v>0</v>
      </c>
      <c r="E44">
        <v>0</v>
      </c>
    </row>
    <row r="45" spans="4:5">
      <c r="D45">
        <f t="shared" si="2"/>
        <v>0</v>
      </c>
      <c r="E45">
        <v>0</v>
      </c>
    </row>
    <row r="46" spans="4:5">
      <c r="D46">
        <f t="shared" si="2"/>
        <v>0</v>
      </c>
      <c r="E46">
        <v>0</v>
      </c>
    </row>
    <row r="47" spans="4:5">
      <c r="D47">
        <f t="shared" si="2"/>
        <v>0</v>
      </c>
      <c r="E47">
        <v>0</v>
      </c>
    </row>
    <row r="48" spans="4:5">
      <c r="D48">
        <f t="shared" si="2"/>
        <v>0</v>
      </c>
      <c r="E48">
        <v>0</v>
      </c>
    </row>
    <row r="49" spans="4:5">
      <c r="D49">
        <f t="shared" si="2"/>
        <v>0</v>
      </c>
      <c r="E49">
        <v>0</v>
      </c>
    </row>
    <row r="50" spans="4:5">
      <c r="D50">
        <f t="shared" si="2"/>
        <v>0</v>
      </c>
      <c r="E50">
        <v>0</v>
      </c>
    </row>
  </sheetData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30352-EA18-4854-BD0D-DFB1075FD7F5}">
  <dimension ref="A1:AS50"/>
  <sheetViews>
    <sheetView zoomScale="75" zoomScaleNormal="75" workbookViewId="0">
      <selection activeCell="O2" sqref="O2"/>
    </sheetView>
  </sheetViews>
  <sheetFormatPr baseColWidth="10" defaultColWidth="11.5703125" defaultRowHeight="20"/>
  <cols>
    <col min="2" max="3" width="11.5703125" bestFit="1" customWidth="1"/>
    <col min="4" max="4" width="24.28515625" bestFit="1" customWidth="1"/>
    <col min="5" max="5" width="11.5703125" bestFit="1" customWidth="1"/>
    <col min="7" max="8" width="11.5703125" bestFit="1" customWidth="1"/>
    <col min="9" max="9" width="12.7109375" bestFit="1" customWidth="1"/>
    <col min="10" max="10" width="11.5703125" bestFit="1" customWidth="1"/>
  </cols>
  <sheetData>
    <row r="1" spans="1:45" ht="22">
      <c r="A1" t="s">
        <v>0</v>
      </c>
      <c r="B1" t="s">
        <v>1</v>
      </c>
      <c r="C1" t="s">
        <v>2</v>
      </c>
      <c r="D1" t="s">
        <v>3</v>
      </c>
      <c r="E1" t="s">
        <v>4</v>
      </c>
      <c r="M1" t="s">
        <v>17</v>
      </c>
      <c r="N1" t="s">
        <v>1</v>
      </c>
      <c r="O1" t="s">
        <v>2</v>
      </c>
      <c r="V1" t="s">
        <v>18</v>
      </c>
      <c r="W1" t="s">
        <v>7</v>
      </c>
      <c r="X1" t="s">
        <v>8</v>
      </c>
      <c r="AF1" t="s">
        <v>19</v>
      </c>
      <c r="AG1" t="s">
        <v>7</v>
      </c>
      <c r="AH1" t="s">
        <v>8</v>
      </c>
    </row>
    <row r="2" spans="1:45">
      <c r="A2" t="s">
        <v>10</v>
      </c>
      <c r="B2">
        <v>-10</v>
      </c>
      <c r="C2" s="1">
        <v>-10</v>
      </c>
      <c r="D2">
        <f t="shared" ref="D2:D33" si="0">(20*(10^3)*B2+(10^4)*C2)/(20*(10^3)+(10^4))</f>
        <v>-10</v>
      </c>
      <c r="E2">
        <v>0</v>
      </c>
      <c r="AG2">
        <v>-10</v>
      </c>
      <c r="AH2" s="1">
        <v>-10</v>
      </c>
      <c r="AP2">
        <v>-10</v>
      </c>
      <c r="AQ2" s="1">
        <v>-13.728</v>
      </c>
      <c r="AR2" s="1">
        <v>-10</v>
      </c>
      <c r="AS2">
        <f t="shared" ref="AS2:AS22" si="1">750*(AQ2-AR2)/AQ2</f>
        <v>203.67132867132867</v>
      </c>
    </row>
    <row r="3" spans="1:45">
      <c r="B3">
        <v>-9</v>
      </c>
      <c r="C3" s="1">
        <v>-9</v>
      </c>
      <c r="D3">
        <f t="shared" si="0"/>
        <v>-9</v>
      </c>
      <c r="E3">
        <v>0</v>
      </c>
      <c r="AG3">
        <v>-9</v>
      </c>
      <c r="AH3" s="1">
        <v>-9</v>
      </c>
      <c r="AP3">
        <v>-9</v>
      </c>
      <c r="AQ3" s="1">
        <v>-13.728</v>
      </c>
      <c r="AR3" s="1">
        <v>-9</v>
      </c>
      <c r="AS3">
        <f t="shared" si="1"/>
        <v>258.30419580419579</v>
      </c>
    </row>
    <row r="4" spans="1:45">
      <c r="B4">
        <v>-8</v>
      </c>
      <c r="C4" s="1">
        <v>-8</v>
      </c>
      <c r="D4">
        <f t="shared" si="0"/>
        <v>-8</v>
      </c>
      <c r="E4">
        <v>0</v>
      </c>
      <c r="AG4">
        <v>-8</v>
      </c>
      <c r="AH4" s="1">
        <v>-8</v>
      </c>
      <c r="AP4">
        <v>-8</v>
      </c>
      <c r="AQ4" s="1">
        <v>-13.728</v>
      </c>
      <c r="AR4" s="1">
        <v>-8</v>
      </c>
      <c r="AS4">
        <f t="shared" si="1"/>
        <v>312.93706293706293</v>
      </c>
    </row>
    <row r="5" spans="1:45">
      <c r="B5">
        <v>-7</v>
      </c>
      <c r="C5" s="1">
        <v>-7</v>
      </c>
      <c r="D5">
        <f t="shared" si="0"/>
        <v>-7</v>
      </c>
      <c r="E5">
        <v>0</v>
      </c>
      <c r="AG5">
        <v>-7</v>
      </c>
      <c r="AH5" s="1">
        <v>-7</v>
      </c>
      <c r="AP5">
        <v>-7</v>
      </c>
      <c r="AQ5" s="1">
        <v>-13.728</v>
      </c>
      <c r="AR5" s="1">
        <v>-7</v>
      </c>
      <c r="AS5">
        <f t="shared" si="1"/>
        <v>367.56993006993008</v>
      </c>
    </row>
    <row r="6" spans="1:45">
      <c r="B6">
        <v>-6</v>
      </c>
      <c r="C6" s="1">
        <v>-6</v>
      </c>
      <c r="D6">
        <f t="shared" si="0"/>
        <v>-6</v>
      </c>
      <c r="E6">
        <v>0</v>
      </c>
      <c r="AG6">
        <v>-6</v>
      </c>
      <c r="AH6" s="1">
        <v>-6</v>
      </c>
      <c r="AP6">
        <v>-6</v>
      </c>
      <c r="AQ6" s="1">
        <v>-13.728</v>
      </c>
      <c r="AR6" s="1">
        <v>-6</v>
      </c>
      <c r="AS6">
        <f t="shared" si="1"/>
        <v>422.20279720279723</v>
      </c>
    </row>
    <row r="7" spans="1:45">
      <c r="B7">
        <v>-5</v>
      </c>
      <c r="C7" s="1">
        <v>-5</v>
      </c>
      <c r="D7">
        <f t="shared" si="0"/>
        <v>-5</v>
      </c>
      <c r="E7">
        <v>0</v>
      </c>
      <c r="AG7">
        <v>-5</v>
      </c>
      <c r="AH7" s="1">
        <v>-5</v>
      </c>
      <c r="AP7">
        <v>-5</v>
      </c>
      <c r="AQ7" s="1">
        <v>-13.728</v>
      </c>
      <c r="AR7" s="1">
        <v>-5</v>
      </c>
      <c r="AS7">
        <f t="shared" si="1"/>
        <v>476.83566433566432</v>
      </c>
    </row>
    <row r="8" spans="1:45">
      <c r="B8">
        <v>-4</v>
      </c>
      <c r="C8" s="1">
        <v>-4</v>
      </c>
      <c r="D8">
        <f t="shared" si="0"/>
        <v>-4</v>
      </c>
      <c r="E8">
        <v>0</v>
      </c>
      <c r="AG8">
        <v>-4</v>
      </c>
      <c r="AH8" s="1">
        <v>-4</v>
      </c>
      <c r="AP8">
        <v>-4</v>
      </c>
      <c r="AQ8" s="1">
        <v>-13.728</v>
      </c>
      <c r="AR8" s="1">
        <v>-4</v>
      </c>
      <c r="AS8">
        <f t="shared" si="1"/>
        <v>531.46853146853152</v>
      </c>
    </row>
    <row r="9" spans="1:45">
      <c r="B9">
        <v>-3</v>
      </c>
      <c r="C9" s="1">
        <v>-3</v>
      </c>
      <c r="D9">
        <f t="shared" si="0"/>
        <v>-3</v>
      </c>
      <c r="E9">
        <v>0</v>
      </c>
      <c r="AG9">
        <v>-3</v>
      </c>
      <c r="AH9" s="1">
        <v>-3</v>
      </c>
      <c r="AP9">
        <v>-3</v>
      </c>
      <c r="AQ9" s="1">
        <v>-13.728</v>
      </c>
      <c r="AR9" s="1">
        <v>-3</v>
      </c>
      <c r="AS9">
        <f t="shared" si="1"/>
        <v>586.10139860139861</v>
      </c>
    </row>
    <row r="10" spans="1:45">
      <c r="B10">
        <v>-2</v>
      </c>
      <c r="C10" s="1">
        <v>-2</v>
      </c>
      <c r="D10">
        <f t="shared" si="0"/>
        <v>-2</v>
      </c>
      <c r="E10">
        <v>0</v>
      </c>
      <c r="AG10">
        <v>-2</v>
      </c>
      <c r="AH10" s="1">
        <v>-2</v>
      </c>
      <c r="AP10">
        <v>-2</v>
      </c>
      <c r="AQ10" s="1">
        <v>-13.728</v>
      </c>
      <c r="AR10" s="1">
        <v>-2</v>
      </c>
      <c r="AS10">
        <f t="shared" si="1"/>
        <v>640.7342657342657</v>
      </c>
    </row>
    <row r="11" spans="1:45">
      <c r="B11">
        <v>-1</v>
      </c>
      <c r="C11" s="2">
        <v>-0.99980000000000002</v>
      </c>
      <c r="D11">
        <f t="shared" si="0"/>
        <v>-0.99993333333333334</v>
      </c>
      <c r="E11">
        <v>0</v>
      </c>
      <c r="AG11">
        <v>-1</v>
      </c>
      <c r="AH11" s="2">
        <v>-0.99939999999999996</v>
      </c>
      <c r="AP11">
        <v>-1</v>
      </c>
      <c r="AQ11" s="1">
        <v>-13.728</v>
      </c>
      <c r="AR11" s="2">
        <v>-0.99980000000000002</v>
      </c>
      <c r="AS11">
        <f t="shared" si="1"/>
        <v>695.37805944055947</v>
      </c>
    </row>
    <row r="12" spans="1:45">
      <c r="B12">
        <v>0</v>
      </c>
      <c r="C12" s="5">
        <v>1.9599999999999999E-4</v>
      </c>
      <c r="D12">
        <f t="shared" si="0"/>
        <v>6.5333333333333327E-5</v>
      </c>
      <c r="E12">
        <v>0</v>
      </c>
      <c r="AG12">
        <v>0</v>
      </c>
      <c r="AH12" s="5">
        <v>6.2500000000000001E-4</v>
      </c>
      <c r="AP12">
        <v>0</v>
      </c>
      <c r="AQ12" s="5">
        <v>-5.842E-3</v>
      </c>
      <c r="AR12" s="5">
        <v>1.9599999999999999E-4</v>
      </c>
      <c r="AS12">
        <f t="shared" si="1"/>
        <v>775.16261554262246</v>
      </c>
    </row>
    <row r="13" spans="1:45">
      <c r="B13">
        <v>1</v>
      </c>
      <c r="C13" s="2">
        <v>1.0003</v>
      </c>
      <c r="D13">
        <f t="shared" si="0"/>
        <v>1.0001</v>
      </c>
      <c r="E13">
        <v>0</v>
      </c>
      <c r="AG13">
        <v>1</v>
      </c>
      <c r="AH13" s="1">
        <v>1.0006999999999999</v>
      </c>
      <c r="AP13">
        <v>1</v>
      </c>
      <c r="AQ13" s="1">
        <v>13.409000000000001</v>
      </c>
      <c r="AR13" s="2">
        <v>1.0003</v>
      </c>
      <c r="AS13">
        <f t="shared" si="1"/>
        <v>694.05063763144165</v>
      </c>
    </row>
    <row r="14" spans="1:45">
      <c r="B14">
        <v>2</v>
      </c>
      <c r="C14" s="1">
        <v>2</v>
      </c>
      <c r="D14">
        <f t="shared" si="0"/>
        <v>2</v>
      </c>
      <c r="E14">
        <v>0</v>
      </c>
      <c r="G14" t="s">
        <v>11</v>
      </c>
      <c r="H14" t="s">
        <v>12</v>
      </c>
      <c r="I14" t="s">
        <v>13</v>
      </c>
      <c r="J14" t="s">
        <v>14</v>
      </c>
      <c r="K14" t="s">
        <v>15</v>
      </c>
      <c r="AG14">
        <v>2</v>
      </c>
      <c r="AH14" s="1">
        <v>2</v>
      </c>
      <c r="AP14">
        <v>2</v>
      </c>
      <c r="AQ14" s="1">
        <v>13.409000000000001</v>
      </c>
      <c r="AR14" s="1">
        <v>2</v>
      </c>
      <c r="AS14">
        <f t="shared" si="1"/>
        <v>638.13483481243941</v>
      </c>
    </row>
    <row r="15" spans="1:45">
      <c r="B15">
        <v>3</v>
      </c>
      <c r="C15" s="1">
        <v>3</v>
      </c>
      <c r="D15">
        <f t="shared" si="0"/>
        <v>3</v>
      </c>
      <c r="E15">
        <v>0</v>
      </c>
      <c r="G15">
        <f>SLOPE(C2:C50,B2:B50)</f>
        <v>1.0000001298701298</v>
      </c>
      <c r="H15">
        <v>-2</v>
      </c>
      <c r="I15">
        <f>INTERCEPT(C2:C50,B2:B50)</f>
        <v>3.3142857143091186E-5</v>
      </c>
      <c r="J15">
        <v>0</v>
      </c>
      <c r="K15">
        <f>100*(ABS(G15-H15))/H15</f>
        <v>-150.00000649350648</v>
      </c>
      <c r="AG15">
        <v>3</v>
      </c>
      <c r="AH15" s="1">
        <v>3</v>
      </c>
      <c r="AP15">
        <v>3</v>
      </c>
      <c r="AQ15" s="1">
        <v>13.409000000000001</v>
      </c>
      <c r="AR15" s="1">
        <v>3</v>
      </c>
      <c r="AS15">
        <f t="shared" si="1"/>
        <v>582.20225221865917</v>
      </c>
    </row>
    <row r="16" spans="1:45">
      <c r="B16">
        <v>4</v>
      </c>
      <c r="C16" s="1">
        <v>4</v>
      </c>
      <c r="D16">
        <f t="shared" si="0"/>
        <v>4</v>
      </c>
      <c r="E16">
        <v>0</v>
      </c>
      <c r="AG16">
        <v>4</v>
      </c>
      <c r="AH16" s="1">
        <v>4</v>
      </c>
      <c r="AJ16" t="s">
        <v>16</v>
      </c>
      <c r="AP16">
        <v>4</v>
      </c>
      <c r="AQ16" s="1">
        <v>13.409000000000001</v>
      </c>
      <c r="AR16" s="1">
        <v>4</v>
      </c>
      <c r="AS16">
        <f t="shared" si="1"/>
        <v>526.26966962487882</v>
      </c>
    </row>
    <row r="17" spans="2:45">
      <c r="B17">
        <v>5</v>
      </c>
      <c r="C17" s="1">
        <v>5</v>
      </c>
      <c r="D17">
        <f t="shared" si="0"/>
        <v>5</v>
      </c>
      <c r="E17">
        <v>0</v>
      </c>
      <c r="AG17">
        <v>5</v>
      </c>
      <c r="AH17" s="1">
        <v>5</v>
      </c>
      <c r="AP17">
        <v>5</v>
      </c>
      <c r="AQ17" s="1">
        <v>13.409000000000001</v>
      </c>
      <c r="AR17" s="1">
        <v>5</v>
      </c>
      <c r="AS17">
        <f t="shared" si="1"/>
        <v>470.33708703109858</v>
      </c>
    </row>
    <row r="18" spans="2:45">
      <c r="B18">
        <v>6</v>
      </c>
      <c r="C18" s="1">
        <v>6</v>
      </c>
      <c r="D18">
        <f t="shared" si="0"/>
        <v>6</v>
      </c>
      <c r="E18">
        <v>0</v>
      </c>
      <c r="AG18">
        <v>6</v>
      </c>
      <c r="AH18" s="1">
        <v>6</v>
      </c>
      <c r="AP18">
        <v>6</v>
      </c>
      <c r="AQ18" s="1">
        <v>13.409000000000001</v>
      </c>
      <c r="AR18" s="1">
        <v>6</v>
      </c>
      <c r="AS18">
        <f t="shared" si="1"/>
        <v>414.40450443731828</v>
      </c>
    </row>
    <row r="19" spans="2:45">
      <c r="B19">
        <v>7</v>
      </c>
      <c r="C19" s="1">
        <v>7</v>
      </c>
      <c r="D19">
        <f t="shared" si="0"/>
        <v>7</v>
      </c>
      <c r="E19">
        <v>0</v>
      </c>
      <c r="AG19">
        <v>7</v>
      </c>
      <c r="AH19" s="1">
        <v>7</v>
      </c>
      <c r="AP19">
        <v>7</v>
      </c>
      <c r="AQ19" s="1">
        <v>13.409000000000001</v>
      </c>
      <c r="AR19" s="1">
        <v>7</v>
      </c>
      <c r="AS19">
        <f t="shared" si="1"/>
        <v>358.47192184353798</v>
      </c>
    </row>
    <row r="20" spans="2:45">
      <c r="B20">
        <v>8</v>
      </c>
      <c r="C20" s="1">
        <v>8</v>
      </c>
      <c r="D20">
        <f t="shared" si="0"/>
        <v>8</v>
      </c>
      <c r="E20">
        <v>0</v>
      </c>
      <c r="AG20">
        <v>8</v>
      </c>
      <c r="AH20" s="1">
        <v>8</v>
      </c>
      <c r="AP20">
        <v>8</v>
      </c>
      <c r="AQ20" s="1">
        <v>13.409000000000001</v>
      </c>
      <c r="AR20" s="1">
        <v>8</v>
      </c>
      <c r="AS20">
        <f t="shared" si="1"/>
        <v>302.53933924975763</v>
      </c>
    </row>
    <row r="21" spans="2:45">
      <c r="B21">
        <v>9</v>
      </c>
      <c r="C21" s="1">
        <v>9</v>
      </c>
      <c r="D21">
        <f t="shared" si="0"/>
        <v>9</v>
      </c>
      <c r="E21">
        <v>0</v>
      </c>
      <c r="AG21">
        <v>9</v>
      </c>
      <c r="AH21" s="1">
        <v>9</v>
      </c>
      <c r="AP21">
        <v>9</v>
      </c>
      <c r="AQ21" s="1">
        <v>13.409000000000001</v>
      </c>
      <c r="AR21" s="1">
        <v>9</v>
      </c>
      <c r="AS21">
        <f t="shared" si="1"/>
        <v>246.60675665597736</v>
      </c>
    </row>
    <row r="22" spans="2:45">
      <c r="B22">
        <v>10</v>
      </c>
      <c r="C22" s="1">
        <v>10</v>
      </c>
      <c r="D22">
        <f t="shared" si="0"/>
        <v>10</v>
      </c>
      <c r="E22">
        <v>0</v>
      </c>
      <c r="AG22">
        <v>10</v>
      </c>
      <c r="AH22" s="1">
        <v>10</v>
      </c>
      <c r="AP22">
        <v>10</v>
      </c>
      <c r="AQ22" s="1">
        <v>13.409000000000001</v>
      </c>
      <c r="AR22" s="1">
        <v>10</v>
      </c>
      <c r="AS22">
        <f t="shared" si="1"/>
        <v>190.67417406219707</v>
      </c>
    </row>
    <row r="23" spans="2:45">
      <c r="D23">
        <f t="shared" si="0"/>
        <v>0</v>
      </c>
      <c r="E23">
        <v>0</v>
      </c>
    </row>
    <row r="24" spans="2:45">
      <c r="D24">
        <f t="shared" si="0"/>
        <v>0</v>
      </c>
      <c r="E24">
        <v>0</v>
      </c>
    </row>
    <row r="25" spans="2:45">
      <c r="D25">
        <f t="shared" si="0"/>
        <v>0</v>
      </c>
      <c r="E25">
        <v>0</v>
      </c>
    </row>
    <row r="26" spans="2:45">
      <c r="D26">
        <f t="shared" si="0"/>
        <v>0</v>
      </c>
      <c r="E26">
        <v>0</v>
      </c>
    </row>
    <row r="27" spans="2:45">
      <c r="D27">
        <f t="shared" si="0"/>
        <v>0</v>
      </c>
      <c r="E27">
        <v>0</v>
      </c>
    </row>
    <row r="28" spans="2:45">
      <c r="D28">
        <f t="shared" si="0"/>
        <v>0</v>
      </c>
      <c r="E28">
        <v>0</v>
      </c>
    </row>
    <row r="29" spans="2:45">
      <c r="D29">
        <f t="shared" si="0"/>
        <v>0</v>
      </c>
      <c r="E29">
        <v>0</v>
      </c>
    </row>
    <row r="30" spans="2:45">
      <c r="D30">
        <f t="shared" si="0"/>
        <v>0</v>
      </c>
      <c r="E30">
        <v>0</v>
      </c>
    </row>
    <row r="31" spans="2:45">
      <c r="D31">
        <f t="shared" si="0"/>
        <v>0</v>
      </c>
      <c r="E31">
        <v>0</v>
      </c>
      <c r="AI31">
        <v>1</v>
      </c>
    </row>
    <row r="32" spans="2:45">
      <c r="D32">
        <f t="shared" si="0"/>
        <v>0</v>
      </c>
      <c r="E32">
        <v>0</v>
      </c>
    </row>
    <row r="33" spans="4:5">
      <c r="D33">
        <f t="shared" si="0"/>
        <v>0</v>
      </c>
      <c r="E33">
        <v>0</v>
      </c>
    </row>
    <row r="34" spans="4:5">
      <c r="D34">
        <f t="shared" ref="D34:D50" si="2">(20*(10^3)*B34+(10^4)*C34)/(20*(10^3)+(10^4))</f>
        <v>0</v>
      </c>
      <c r="E34">
        <v>0</v>
      </c>
    </row>
    <row r="35" spans="4:5">
      <c r="D35">
        <f t="shared" si="2"/>
        <v>0</v>
      </c>
      <c r="E35">
        <v>0</v>
      </c>
    </row>
    <row r="36" spans="4:5">
      <c r="D36">
        <f t="shared" si="2"/>
        <v>0</v>
      </c>
      <c r="E36">
        <v>0</v>
      </c>
    </row>
    <row r="37" spans="4:5">
      <c r="D37">
        <f t="shared" si="2"/>
        <v>0</v>
      </c>
      <c r="E37">
        <v>0</v>
      </c>
    </row>
    <row r="38" spans="4:5">
      <c r="D38">
        <f t="shared" si="2"/>
        <v>0</v>
      </c>
      <c r="E38">
        <v>0</v>
      </c>
    </row>
    <row r="39" spans="4:5">
      <c r="D39">
        <f t="shared" si="2"/>
        <v>0</v>
      </c>
      <c r="E39">
        <v>0</v>
      </c>
    </row>
    <row r="40" spans="4:5">
      <c r="D40">
        <f t="shared" si="2"/>
        <v>0</v>
      </c>
      <c r="E40">
        <v>0</v>
      </c>
    </row>
    <row r="41" spans="4:5">
      <c r="D41">
        <f t="shared" si="2"/>
        <v>0</v>
      </c>
      <c r="E41">
        <v>0</v>
      </c>
    </row>
    <row r="42" spans="4:5">
      <c r="D42">
        <f t="shared" si="2"/>
        <v>0</v>
      </c>
      <c r="E42">
        <v>0</v>
      </c>
    </row>
    <row r="43" spans="4:5">
      <c r="D43">
        <f t="shared" si="2"/>
        <v>0</v>
      </c>
      <c r="E43">
        <v>0</v>
      </c>
    </row>
    <row r="44" spans="4:5">
      <c r="D44">
        <f t="shared" si="2"/>
        <v>0</v>
      </c>
      <c r="E44">
        <v>0</v>
      </c>
    </row>
    <row r="45" spans="4:5">
      <c r="D45">
        <f t="shared" si="2"/>
        <v>0</v>
      </c>
      <c r="E45">
        <v>0</v>
      </c>
    </row>
    <row r="46" spans="4:5">
      <c r="D46">
        <f t="shared" si="2"/>
        <v>0</v>
      </c>
      <c r="E46">
        <v>0</v>
      </c>
    </row>
    <row r="47" spans="4:5">
      <c r="D47">
        <f t="shared" si="2"/>
        <v>0</v>
      </c>
      <c r="E47">
        <v>0</v>
      </c>
    </row>
    <row r="48" spans="4:5">
      <c r="D48">
        <f t="shared" si="2"/>
        <v>0</v>
      </c>
      <c r="E48">
        <v>0</v>
      </c>
    </row>
    <row r="49" spans="4:5">
      <c r="D49">
        <f t="shared" si="2"/>
        <v>0</v>
      </c>
      <c r="E49">
        <v>0</v>
      </c>
    </row>
    <row r="50" spans="4:5">
      <c r="D50">
        <f t="shared" si="2"/>
        <v>0</v>
      </c>
      <c r="E50">
        <v>0</v>
      </c>
    </row>
  </sheetData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8DA6B-F1C9-4DD6-A053-4C91B9B9619B}">
  <dimension ref="A1:AJ50"/>
  <sheetViews>
    <sheetView zoomScaleNormal="100" workbookViewId="0">
      <selection activeCell="O2" sqref="O2"/>
    </sheetView>
  </sheetViews>
  <sheetFormatPr baseColWidth="10" defaultColWidth="11.5703125" defaultRowHeight="20"/>
  <cols>
    <col min="4" max="4" width="24" bestFit="1" customWidth="1"/>
  </cols>
  <sheetData>
    <row r="1" spans="1:36" ht="22">
      <c r="A1" t="s">
        <v>0</v>
      </c>
      <c r="B1" t="s">
        <v>23</v>
      </c>
      <c r="C1" t="s">
        <v>2</v>
      </c>
      <c r="D1" t="s">
        <v>3</v>
      </c>
      <c r="E1" t="s">
        <v>4</v>
      </c>
      <c r="F1" s="4" t="s">
        <v>24</v>
      </c>
      <c r="N1" t="s">
        <v>1</v>
      </c>
      <c r="O1" t="s">
        <v>2</v>
      </c>
      <c r="P1" s="4" t="s">
        <v>23</v>
      </c>
      <c r="V1" t="s">
        <v>18</v>
      </c>
      <c r="W1" t="s">
        <v>7</v>
      </c>
      <c r="X1" t="s">
        <v>8</v>
      </c>
      <c r="AF1" t="s">
        <v>19</v>
      </c>
      <c r="AG1" t="s">
        <v>7</v>
      </c>
      <c r="AH1" t="s">
        <v>8</v>
      </c>
    </row>
    <row r="2" spans="1:36" ht="22">
      <c r="A2" t="s">
        <v>25</v>
      </c>
      <c r="B2">
        <v>-5</v>
      </c>
      <c r="C2">
        <v>-7.8760000000000003</v>
      </c>
      <c r="D2" t="e">
        <f>(20*(10^3)*#REF!+(10^4)*B2)/(20*(10^3)+(10^4))</f>
        <v>#REF!</v>
      </c>
      <c r="E2">
        <v>0</v>
      </c>
      <c r="F2" s="3">
        <v>5</v>
      </c>
      <c r="M2" t="s">
        <v>26</v>
      </c>
      <c r="N2">
        <v>-5</v>
      </c>
      <c r="O2" s="1">
        <v>7.88</v>
      </c>
      <c r="P2" s="3">
        <v>5</v>
      </c>
    </row>
    <row r="3" spans="1:36">
      <c r="B3">
        <v>-4</v>
      </c>
      <c r="C3">
        <v>-8.3019999999999996</v>
      </c>
      <c r="D3">
        <f t="shared" ref="D3:D50" si="0">(20*(10^3)*B3+(10^4)*C3)/(20*(10^3)+(10^4))</f>
        <v>-5.4340000000000002</v>
      </c>
      <c r="E3">
        <v>0</v>
      </c>
      <c r="N3">
        <v>-4</v>
      </c>
      <c r="O3">
        <v>5.8780000000000001</v>
      </c>
    </row>
    <row r="4" spans="1:36">
      <c r="B4">
        <v>-3</v>
      </c>
      <c r="C4">
        <v>-8.7279999999999998</v>
      </c>
      <c r="D4">
        <f t="shared" si="0"/>
        <v>-4.9093333333333335</v>
      </c>
      <c r="E4">
        <v>0</v>
      </c>
      <c r="N4">
        <v>-3</v>
      </c>
      <c r="O4">
        <v>3.8769999999999998</v>
      </c>
    </row>
    <row r="5" spans="1:36">
      <c r="B5">
        <v>-2</v>
      </c>
      <c r="C5">
        <v>-9.1539999999999999</v>
      </c>
      <c r="D5">
        <f t="shared" si="0"/>
        <v>-4.3846666666666669</v>
      </c>
      <c r="E5">
        <v>0</v>
      </c>
      <c r="N5">
        <v>-2</v>
      </c>
      <c r="O5">
        <v>1.875</v>
      </c>
    </row>
    <row r="6" spans="1:36">
      <c r="B6">
        <v>-1</v>
      </c>
      <c r="C6">
        <v>-9.58</v>
      </c>
      <c r="D6">
        <f t="shared" si="0"/>
        <v>-3.86</v>
      </c>
      <c r="E6">
        <v>0</v>
      </c>
      <c r="N6">
        <v>-1</v>
      </c>
      <c r="O6">
        <v>-0.12640000000000001</v>
      </c>
    </row>
    <row r="7" spans="1:36">
      <c r="B7">
        <v>0</v>
      </c>
      <c r="C7">
        <v>-10.005000000000001</v>
      </c>
      <c r="D7">
        <f t="shared" si="0"/>
        <v>-3.3350000000000004</v>
      </c>
      <c r="E7">
        <v>0</v>
      </c>
      <c r="N7">
        <v>0</v>
      </c>
      <c r="O7">
        <v>-2.129</v>
      </c>
    </row>
    <row r="8" spans="1:36">
      <c r="B8">
        <v>1</v>
      </c>
      <c r="C8">
        <v>-10.432</v>
      </c>
      <c r="D8">
        <f t="shared" si="0"/>
        <v>-2.8106666666666666</v>
      </c>
      <c r="E8">
        <v>0</v>
      </c>
      <c r="N8">
        <v>1</v>
      </c>
      <c r="O8" s="1">
        <v>-4.13</v>
      </c>
    </row>
    <row r="9" spans="1:36">
      <c r="B9">
        <v>2</v>
      </c>
      <c r="C9">
        <v>-10.858000000000001</v>
      </c>
      <c r="D9">
        <f t="shared" si="0"/>
        <v>-2.286</v>
      </c>
      <c r="E9">
        <v>0</v>
      </c>
      <c r="N9">
        <v>2</v>
      </c>
      <c r="O9">
        <v>-6.1310000000000002</v>
      </c>
    </row>
    <row r="10" spans="1:36">
      <c r="B10">
        <v>3</v>
      </c>
      <c r="C10">
        <v>-11.282999999999999</v>
      </c>
      <c r="D10">
        <f t="shared" si="0"/>
        <v>-1.7609999999999999</v>
      </c>
      <c r="E10">
        <v>0</v>
      </c>
      <c r="N10">
        <v>3</v>
      </c>
      <c r="O10">
        <v>-8.1329999999999991</v>
      </c>
    </row>
    <row r="11" spans="1:36">
      <c r="B11">
        <v>4</v>
      </c>
      <c r="C11">
        <v>-11.709</v>
      </c>
      <c r="D11">
        <f t="shared" si="0"/>
        <v>-1.2363333333333333</v>
      </c>
      <c r="E11">
        <v>0</v>
      </c>
      <c r="N11">
        <v>4</v>
      </c>
      <c r="O11">
        <v>-10.134</v>
      </c>
    </row>
    <row r="12" spans="1:36">
      <c r="B12">
        <v>5</v>
      </c>
      <c r="C12">
        <v>-12.135</v>
      </c>
      <c r="D12">
        <f t="shared" si="0"/>
        <v>-0.71166666666666667</v>
      </c>
      <c r="E12">
        <v>0</v>
      </c>
      <c r="N12">
        <v>5</v>
      </c>
      <c r="O12">
        <v>-12.135</v>
      </c>
    </row>
    <row r="13" spans="1:36">
      <c r="D13">
        <f t="shared" si="0"/>
        <v>0</v>
      </c>
      <c r="E13">
        <v>0</v>
      </c>
    </row>
    <row r="14" spans="1:36">
      <c r="D14">
        <f t="shared" si="0"/>
        <v>0</v>
      </c>
      <c r="E14">
        <v>0</v>
      </c>
      <c r="G14" t="s">
        <v>11</v>
      </c>
      <c r="H14" t="s">
        <v>12</v>
      </c>
      <c r="I14" t="s">
        <v>15</v>
      </c>
      <c r="J14" t="s">
        <v>27</v>
      </c>
      <c r="K14" t="s">
        <v>28</v>
      </c>
      <c r="L14" t="s">
        <v>29</v>
      </c>
      <c r="Q14" t="s">
        <v>11</v>
      </c>
      <c r="R14" t="s">
        <v>12</v>
      </c>
      <c r="S14" t="s">
        <v>15</v>
      </c>
      <c r="T14" t="s">
        <v>27</v>
      </c>
      <c r="U14" t="s">
        <v>28</v>
      </c>
      <c r="V14" t="s">
        <v>29</v>
      </c>
    </row>
    <row r="15" spans="1:36">
      <c r="D15">
        <f t="shared" si="0"/>
        <v>0</v>
      </c>
      <c r="E15">
        <v>0</v>
      </c>
      <c r="G15">
        <f>SLOPE(C2:C50,B2:B50)</f>
        <v>-0.4258909090909091</v>
      </c>
      <c r="H15">
        <f>-20/47</f>
        <v>-0.42553191489361702</v>
      </c>
      <c r="I15">
        <f>100*(ABS(G15-H15))/H15</f>
        <v>-8.436363636363714E-2</v>
      </c>
      <c r="J15">
        <f>INTERCEPT(C2:C50,B2:B50)</f>
        <v>-10.005636363636365</v>
      </c>
      <c r="K15">
        <f>-2*F2</f>
        <v>-10</v>
      </c>
      <c r="L15">
        <f>ABS((J15-K15)/K15)</f>
        <v>5.63636363636455E-4</v>
      </c>
      <c r="Q15">
        <f>SLOPE(O2:O50,N2:N50)</f>
        <v>-2.0015327272727275</v>
      </c>
      <c r="R15">
        <f>-2</f>
        <v>-2</v>
      </c>
      <c r="S15">
        <f>100*(ABS(Q15-R15))/R15</f>
        <v>-7.6636363636373162E-2</v>
      </c>
      <c r="T15">
        <f>INTERCEPT(O2:O50,N2:N50)</f>
        <v>-2.1280363636363635</v>
      </c>
      <c r="U15">
        <f>(-20)*P2/47</f>
        <v>-2.1276595744680851</v>
      </c>
      <c r="V15">
        <f>ABS((T15-U15)/U15)</f>
        <v>1.7709090909086457E-4</v>
      </c>
    </row>
    <row r="16" spans="1:36">
      <c r="D16">
        <f t="shared" si="0"/>
        <v>0</v>
      </c>
      <c r="E16">
        <v>0</v>
      </c>
      <c r="AJ16" t="s">
        <v>16</v>
      </c>
    </row>
    <row r="17" spans="4:5">
      <c r="D17">
        <f t="shared" si="0"/>
        <v>0</v>
      </c>
      <c r="E17">
        <v>0</v>
      </c>
    </row>
    <row r="18" spans="4:5">
      <c r="D18">
        <f t="shared" si="0"/>
        <v>0</v>
      </c>
      <c r="E18">
        <v>0</v>
      </c>
    </row>
    <row r="19" spans="4:5">
      <c r="D19">
        <f t="shared" si="0"/>
        <v>0</v>
      </c>
      <c r="E19">
        <v>0</v>
      </c>
    </row>
    <row r="20" spans="4:5">
      <c r="D20">
        <f t="shared" si="0"/>
        <v>0</v>
      </c>
      <c r="E20">
        <v>0</v>
      </c>
    </row>
    <row r="21" spans="4:5">
      <c r="D21">
        <f t="shared" si="0"/>
        <v>0</v>
      </c>
      <c r="E21">
        <v>0</v>
      </c>
    </row>
    <row r="22" spans="4:5">
      <c r="D22">
        <f t="shared" si="0"/>
        <v>0</v>
      </c>
      <c r="E22">
        <v>0</v>
      </c>
    </row>
    <row r="23" spans="4:5">
      <c r="D23">
        <f t="shared" si="0"/>
        <v>0</v>
      </c>
      <c r="E23">
        <v>0</v>
      </c>
    </row>
    <row r="24" spans="4:5">
      <c r="D24">
        <f t="shared" si="0"/>
        <v>0</v>
      </c>
      <c r="E24">
        <v>0</v>
      </c>
    </row>
    <row r="25" spans="4:5">
      <c r="D25">
        <f t="shared" si="0"/>
        <v>0</v>
      </c>
      <c r="E25">
        <v>0</v>
      </c>
    </row>
    <row r="26" spans="4:5">
      <c r="D26">
        <f t="shared" si="0"/>
        <v>0</v>
      </c>
      <c r="E26">
        <v>0</v>
      </c>
    </row>
    <row r="27" spans="4:5">
      <c r="D27">
        <f t="shared" si="0"/>
        <v>0</v>
      </c>
      <c r="E27">
        <v>0</v>
      </c>
    </row>
    <row r="28" spans="4:5">
      <c r="D28">
        <f t="shared" si="0"/>
        <v>0</v>
      </c>
      <c r="E28">
        <v>0</v>
      </c>
    </row>
    <row r="29" spans="4:5">
      <c r="D29">
        <f t="shared" si="0"/>
        <v>0</v>
      </c>
      <c r="E29">
        <v>0</v>
      </c>
    </row>
    <row r="30" spans="4:5">
      <c r="D30">
        <f t="shared" si="0"/>
        <v>0</v>
      </c>
      <c r="E30">
        <v>0</v>
      </c>
    </row>
    <row r="31" spans="4:5">
      <c r="D31">
        <f t="shared" si="0"/>
        <v>0</v>
      </c>
      <c r="E31">
        <v>0</v>
      </c>
    </row>
    <row r="32" spans="4:5">
      <c r="D32">
        <f t="shared" si="0"/>
        <v>0</v>
      </c>
      <c r="E32">
        <v>0</v>
      </c>
    </row>
    <row r="33" spans="4:5">
      <c r="D33">
        <f t="shared" si="0"/>
        <v>0</v>
      </c>
      <c r="E33">
        <v>0</v>
      </c>
    </row>
    <row r="34" spans="4:5">
      <c r="D34">
        <f t="shared" si="0"/>
        <v>0</v>
      </c>
      <c r="E34">
        <v>0</v>
      </c>
    </row>
    <row r="35" spans="4:5">
      <c r="D35">
        <f t="shared" si="0"/>
        <v>0</v>
      </c>
      <c r="E35">
        <v>0</v>
      </c>
    </row>
    <row r="36" spans="4:5">
      <c r="D36">
        <f t="shared" si="0"/>
        <v>0</v>
      </c>
      <c r="E36">
        <v>0</v>
      </c>
    </row>
    <row r="37" spans="4:5">
      <c r="D37">
        <f t="shared" si="0"/>
        <v>0</v>
      </c>
      <c r="E37">
        <v>0</v>
      </c>
    </row>
    <row r="38" spans="4:5">
      <c r="D38">
        <f t="shared" si="0"/>
        <v>0</v>
      </c>
      <c r="E38">
        <v>0</v>
      </c>
    </row>
    <row r="39" spans="4:5">
      <c r="D39">
        <f t="shared" si="0"/>
        <v>0</v>
      </c>
      <c r="E39">
        <v>0</v>
      </c>
    </row>
    <row r="40" spans="4:5">
      <c r="D40">
        <f t="shared" si="0"/>
        <v>0</v>
      </c>
      <c r="E40">
        <v>0</v>
      </c>
    </row>
    <row r="41" spans="4:5">
      <c r="D41">
        <f t="shared" si="0"/>
        <v>0</v>
      </c>
      <c r="E41">
        <v>0</v>
      </c>
    </row>
    <row r="42" spans="4:5">
      <c r="D42">
        <f t="shared" si="0"/>
        <v>0</v>
      </c>
      <c r="E42">
        <v>0</v>
      </c>
    </row>
    <row r="43" spans="4:5">
      <c r="D43">
        <f t="shared" si="0"/>
        <v>0</v>
      </c>
      <c r="E43">
        <v>0</v>
      </c>
    </row>
    <row r="44" spans="4:5">
      <c r="D44">
        <f t="shared" si="0"/>
        <v>0</v>
      </c>
      <c r="E44">
        <v>0</v>
      </c>
    </row>
    <row r="45" spans="4:5">
      <c r="D45">
        <f t="shared" si="0"/>
        <v>0</v>
      </c>
      <c r="E45">
        <v>0</v>
      </c>
    </row>
    <row r="46" spans="4:5">
      <c r="D46">
        <f t="shared" si="0"/>
        <v>0</v>
      </c>
      <c r="E46">
        <v>0</v>
      </c>
    </row>
    <row r="47" spans="4:5">
      <c r="D47">
        <f t="shared" si="0"/>
        <v>0</v>
      </c>
      <c r="E47">
        <v>0</v>
      </c>
    </row>
    <row r="48" spans="4:5">
      <c r="D48">
        <f t="shared" si="0"/>
        <v>0</v>
      </c>
      <c r="E48">
        <v>0</v>
      </c>
    </row>
    <row r="49" spans="4:5">
      <c r="D49">
        <f t="shared" si="0"/>
        <v>0</v>
      </c>
      <c r="E49">
        <v>0</v>
      </c>
    </row>
    <row r="50" spans="4:5">
      <c r="D50">
        <f t="shared" si="0"/>
        <v>0</v>
      </c>
      <c r="E50">
        <v>0</v>
      </c>
    </row>
  </sheetData>
  <phoneticPr fontId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AA9ED-783B-41FF-9ECB-C5D0F77CA703}">
  <dimension ref="A1:AJ50"/>
  <sheetViews>
    <sheetView zoomScaleNormal="100" workbookViewId="0">
      <selection activeCell="O2" sqref="O2"/>
    </sheetView>
  </sheetViews>
  <sheetFormatPr baseColWidth="10" defaultColWidth="11.5703125" defaultRowHeight="20"/>
  <cols>
    <col min="4" max="4" width="24" bestFit="1" customWidth="1"/>
  </cols>
  <sheetData>
    <row r="1" spans="1:36" ht="22">
      <c r="A1" t="s">
        <v>0</v>
      </c>
      <c r="B1" t="s">
        <v>23</v>
      </c>
      <c r="C1" t="s">
        <v>2</v>
      </c>
      <c r="D1" t="s">
        <v>3</v>
      </c>
      <c r="E1" t="s">
        <v>4</v>
      </c>
      <c r="F1" s="4" t="s">
        <v>30</v>
      </c>
      <c r="N1" t="s">
        <v>1</v>
      </c>
      <c r="O1" t="s">
        <v>2</v>
      </c>
      <c r="P1" s="4" t="s">
        <v>31</v>
      </c>
      <c r="V1" t="s">
        <v>18</v>
      </c>
      <c r="W1" t="s">
        <v>7</v>
      </c>
      <c r="X1" t="s">
        <v>8</v>
      </c>
      <c r="AF1" t="s">
        <v>19</v>
      </c>
      <c r="AG1" t="s">
        <v>7</v>
      </c>
      <c r="AH1" t="s">
        <v>8</v>
      </c>
    </row>
    <row r="2" spans="1:36" ht="22">
      <c r="A2" t="s">
        <v>32</v>
      </c>
      <c r="B2">
        <v>-5</v>
      </c>
      <c r="C2">
        <v>13.417999999999999</v>
      </c>
      <c r="D2">
        <f>(20*(10^3)*B2+(10^4)*C2)/(20*(10^3)+(10^4))</f>
        <v>1.1393333333333333</v>
      </c>
      <c r="E2">
        <v>0</v>
      </c>
      <c r="F2" s="3">
        <v>5</v>
      </c>
      <c r="M2" t="s">
        <v>33</v>
      </c>
      <c r="N2">
        <v>-5</v>
      </c>
      <c r="O2">
        <v>-14.256</v>
      </c>
      <c r="P2" s="3">
        <v>5</v>
      </c>
    </row>
    <row r="3" spans="1:36">
      <c r="B3">
        <v>-4</v>
      </c>
      <c r="C3">
        <v>13.42</v>
      </c>
      <c r="D3">
        <f>(20*(10^3)*B3+(10^4)*C3)/(20*(10^3)+(10^4))</f>
        <v>1.8066666666666666</v>
      </c>
      <c r="E3">
        <v>0</v>
      </c>
      <c r="N3">
        <v>-4</v>
      </c>
      <c r="O3">
        <v>-14.254</v>
      </c>
    </row>
    <row r="4" spans="1:36">
      <c r="B4">
        <v>-3</v>
      </c>
      <c r="C4">
        <v>13.422000000000001</v>
      </c>
      <c r="D4">
        <f>(20*(10^3)*B4+(10^4)*C4)/(20*(10^3)+(10^4))</f>
        <v>2.4740000000000002</v>
      </c>
      <c r="E4">
        <v>0</v>
      </c>
      <c r="N4">
        <v>-3</v>
      </c>
      <c r="O4">
        <v>-14.253</v>
      </c>
    </row>
    <row r="5" spans="1:36">
      <c r="B5">
        <v>-2</v>
      </c>
      <c r="C5">
        <v>13.423</v>
      </c>
      <c r="D5">
        <f>(20*(10^3)*B5+(10^4)*C5)/(20*(10^3)+(10^4))</f>
        <v>3.141</v>
      </c>
      <c r="E5">
        <v>0</v>
      </c>
      <c r="N5">
        <v>-2.8</v>
      </c>
      <c r="O5">
        <v>-14.247999999999999</v>
      </c>
    </row>
    <row r="6" spans="1:36">
      <c r="B6">
        <v>-1.8</v>
      </c>
      <c r="C6">
        <v>13.423999999999999</v>
      </c>
      <c r="D6">
        <f t="shared" ref="D6:D13" si="0">(20*(10^3)*B10+(10^4)*C10)/(20*(10^3)+(10^4))</f>
        <v>3.3256666666666668</v>
      </c>
      <c r="E6">
        <v>0</v>
      </c>
      <c r="N6">
        <v>-2.6</v>
      </c>
      <c r="O6">
        <v>-14.205</v>
      </c>
    </row>
    <row r="7" spans="1:36">
      <c r="B7">
        <v>-1.6</v>
      </c>
      <c r="C7">
        <v>13.176</v>
      </c>
      <c r="D7">
        <f t="shared" si="0"/>
        <v>3.3253333333333339</v>
      </c>
      <c r="E7">
        <v>0</v>
      </c>
      <c r="N7">
        <v>-2.4</v>
      </c>
      <c r="O7">
        <v>-14.148999999999999</v>
      </c>
    </row>
    <row r="8" spans="1:36">
      <c r="B8">
        <v>-1.4</v>
      </c>
      <c r="C8">
        <v>12.776</v>
      </c>
      <c r="D8">
        <f t="shared" si="0"/>
        <v>3.3246666666666669</v>
      </c>
      <c r="E8">
        <v>0</v>
      </c>
      <c r="N8">
        <v>-2.2000000000000002</v>
      </c>
      <c r="O8">
        <v>-14.079000000000001</v>
      </c>
    </row>
    <row r="9" spans="1:36">
      <c r="B9">
        <v>-1.2</v>
      </c>
      <c r="C9">
        <v>12.375999999999999</v>
      </c>
      <c r="D9">
        <f t="shared" si="0"/>
        <v>3.3239999999999998</v>
      </c>
      <c r="E9">
        <v>0</v>
      </c>
      <c r="N9">
        <v>-2</v>
      </c>
      <c r="O9">
        <v>-13.965999999999999</v>
      </c>
    </row>
    <row r="10" spans="1:36">
      <c r="B10">
        <v>-1</v>
      </c>
      <c r="C10">
        <v>11.977</v>
      </c>
      <c r="D10">
        <f t="shared" si="0"/>
        <v>3.3233333333333333</v>
      </c>
      <c r="E10">
        <v>0</v>
      </c>
      <c r="N10">
        <v>-1.8</v>
      </c>
      <c r="O10">
        <v>-13.598000000000001</v>
      </c>
    </row>
    <row r="11" spans="1:36">
      <c r="B11">
        <v>0</v>
      </c>
      <c r="C11">
        <v>9.9760000000000009</v>
      </c>
      <c r="D11">
        <f t="shared" si="0"/>
        <v>3.323</v>
      </c>
      <c r="E11">
        <v>0</v>
      </c>
      <c r="N11">
        <v>-1.6</v>
      </c>
      <c r="O11">
        <v>-13.199</v>
      </c>
    </row>
    <row r="12" spans="1:36">
      <c r="B12">
        <v>1</v>
      </c>
      <c r="C12">
        <v>7.9740000000000002</v>
      </c>
      <c r="D12">
        <f t="shared" si="0"/>
        <v>3.3224733333333334</v>
      </c>
      <c r="E12">
        <v>0</v>
      </c>
      <c r="N12">
        <v>-1.4</v>
      </c>
      <c r="O12">
        <v>-12.8</v>
      </c>
    </row>
    <row r="13" spans="1:36">
      <c r="B13">
        <v>2</v>
      </c>
      <c r="C13">
        <v>5.9720000000000004</v>
      </c>
      <c r="D13">
        <f t="shared" si="0"/>
        <v>0</v>
      </c>
      <c r="E13">
        <v>0</v>
      </c>
      <c r="N13">
        <v>-1.2</v>
      </c>
      <c r="O13">
        <v>-12.401</v>
      </c>
    </row>
    <row r="14" spans="1:36">
      <c r="B14">
        <v>3</v>
      </c>
      <c r="C14">
        <v>3.97</v>
      </c>
      <c r="D14">
        <f>(20*(10^3)*B18+(10^4)*C18)/(20*(10^3)+(10^4))</f>
        <v>0</v>
      </c>
      <c r="E14">
        <v>0</v>
      </c>
      <c r="G14" t="s">
        <v>11</v>
      </c>
      <c r="H14" t="s">
        <v>12</v>
      </c>
      <c r="I14" t="s">
        <v>15</v>
      </c>
      <c r="J14" t="s">
        <v>27</v>
      </c>
      <c r="K14" t="s">
        <v>28</v>
      </c>
      <c r="L14" t="s">
        <v>29</v>
      </c>
      <c r="N14">
        <v>-1</v>
      </c>
      <c r="O14">
        <v>-11.999000000000001</v>
      </c>
      <c r="Q14" t="s">
        <v>11</v>
      </c>
      <c r="R14" t="s">
        <v>12</v>
      </c>
      <c r="S14" t="s">
        <v>15</v>
      </c>
      <c r="T14" t="s">
        <v>45</v>
      </c>
      <c r="U14" t="s">
        <v>28</v>
      </c>
      <c r="V14" t="s">
        <v>29</v>
      </c>
    </row>
    <row r="15" spans="1:36">
      <c r="B15">
        <v>4</v>
      </c>
      <c r="C15">
        <v>1.9690000000000001</v>
      </c>
      <c r="D15">
        <f>(20*(10^3)*B19+(10^4)*C19)/(20*(10^3)+(10^4))</f>
        <v>0</v>
      </c>
      <c r="E15">
        <v>0</v>
      </c>
      <c r="G15">
        <f>SLOPE(C2:C50,B2:B50)</f>
        <v>-1.535994280821918</v>
      </c>
      <c r="H15">
        <v>-2</v>
      </c>
      <c r="I15">
        <f>100*(ABS(G15-H15))/H15</f>
        <v>-23.2002859589041</v>
      </c>
      <c r="J15">
        <f>INTERCEPT(C2:C50,B2:B50)</f>
        <v>9.2016302876712324</v>
      </c>
      <c r="K15">
        <f>-2*F2</f>
        <v>-10</v>
      </c>
      <c r="L15">
        <f>ABS((J15-K15)/K15)</f>
        <v>1.9201630287671232</v>
      </c>
      <c r="N15">
        <v>0</v>
      </c>
      <c r="O15">
        <v>-10.006</v>
      </c>
      <c r="Q15">
        <f>SLOPE(O2:O50,N2:N50)</f>
        <v>1.6511374208072036</v>
      </c>
      <c r="R15">
        <v>2</v>
      </c>
      <c r="S15">
        <f>100*(ABS(Q15-R15))/R15</f>
        <v>17.443128959639822</v>
      </c>
      <c r="T15">
        <f>INTERCEPT(O2:O50,N2:N50)</f>
        <v>-9.5302122772149858</v>
      </c>
      <c r="U15">
        <f>-2*P2</f>
        <v>-10</v>
      </c>
      <c r="V15">
        <f>ABS((T15-U15)/U15)</f>
        <v>4.6978772278501425E-2</v>
      </c>
    </row>
    <row r="16" spans="1:36">
      <c r="B16">
        <v>5</v>
      </c>
      <c r="C16">
        <v>-3.2579999999999998E-2</v>
      </c>
      <c r="D16">
        <f>(20*(10^3)*B20+(10^4)*C20)/(20*(10^3)+(10^4))</f>
        <v>0</v>
      </c>
      <c r="E16">
        <v>0</v>
      </c>
      <c r="N16">
        <v>1</v>
      </c>
      <c r="O16">
        <v>-8.0109999999999992</v>
      </c>
      <c r="AJ16" t="s">
        <v>16</v>
      </c>
    </row>
    <row r="17" spans="4:15">
      <c r="E17">
        <v>0</v>
      </c>
      <c r="N17">
        <v>2</v>
      </c>
      <c r="O17">
        <v>-6.016</v>
      </c>
    </row>
    <row r="18" spans="4:15">
      <c r="D18">
        <f t="shared" ref="D18:D50" si="1">(20*(10^3)*B18+(10^4)*C18)/(20*(10^3)+(10^4))</f>
        <v>0</v>
      </c>
      <c r="E18">
        <v>0</v>
      </c>
      <c r="N18">
        <v>3</v>
      </c>
      <c r="O18">
        <v>-4.0220000000000002</v>
      </c>
    </row>
    <row r="19" spans="4:15">
      <c r="D19">
        <f t="shared" si="1"/>
        <v>0</v>
      </c>
      <c r="E19">
        <v>0</v>
      </c>
      <c r="N19">
        <v>4</v>
      </c>
      <c r="O19">
        <v>-2.0270000000000001</v>
      </c>
    </row>
    <row r="20" spans="4:15">
      <c r="D20">
        <f t="shared" si="1"/>
        <v>0</v>
      </c>
      <c r="E20">
        <v>0</v>
      </c>
      <c r="N20">
        <v>5</v>
      </c>
      <c r="O20">
        <v>-3.2320000000000001E-3</v>
      </c>
    </row>
    <row r="21" spans="4:15">
      <c r="D21">
        <f t="shared" si="1"/>
        <v>0</v>
      </c>
      <c r="E21">
        <v>0</v>
      </c>
    </row>
    <row r="22" spans="4:15">
      <c r="D22">
        <f t="shared" si="1"/>
        <v>0</v>
      </c>
      <c r="E22">
        <v>0</v>
      </c>
    </row>
    <row r="23" spans="4:15">
      <c r="D23">
        <f t="shared" si="1"/>
        <v>0</v>
      </c>
      <c r="E23">
        <v>0</v>
      </c>
    </row>
    <row r="24" spans="4:15">
      <c r="D24">
        <f t="shared" si="1"/>
        <v>0</v>
      </c>
      <c r="E24">
        <v>0</v>
      </c>
    </row>
    <row r="25" spans="4:15">
      <c r="D25">
        <f t="shared" si="1"/>
        <v>0</v>
      </c>
      <c r="E25">
        <v>0</v>
      </c>
    </row>
    <row r="26" spans="4:15">
      <c r="D26">
        <f t="shared" si="1"/>
        <v>0</v>
      </c>
      <c r="E26">
        <v>0</v>
      </c>
    </row>
    <row r="27" spans="4:15">
      <c r="D27">
        <f t="shared" si="1"/>
        <v>0</v>
      </c>
      <c r="E27">
        <v>0</v>
      </c>
    </row>
    <row r="28" spans="4:15">
      <c r="D28">
        <f t="shared" si="1"/>
        <v>0</v>
      </c>
      <c r="E28">
        <v>0</v>
      </c>
    </row>
    <row r="29" spans="4:15">
      <c r="D29">
        <f t="shared" si="1"/>
        <v>0</v>
      </c>
      <c r="E29">
        <v>0</v>
      </c>
    </row>
    <row r="30" spans="4:15">
      <c r="D30">
        <f t="shared" si="1"/>
        <v>0</v>
      </c>
      <c r="E30">
        <v>0</v>
      </c>
    </row>
    <row r="31" spans="4:15">
      <c r="D31">
        <f t="shared" si="1"/>
        <v>0</v>
      </c>
      <c r="E31">
        <v>0</v>
      </c>
    </row>
    <row r="32" spans="4:15">
      <c r="D32">
        <f t="shared" si="1"/>
        <v>0</v>
      </c>
      <c r="E32">
        <v>0</v>
      </c>
    </row>
    <row r="33" spans="4:5">
      <c r="D33">
        <f t="shared" si="1"/>
        <v>0</v>
      </c>
      <c r="E33">
        <v>0</v>
      </c>
    </row>
    <row r="34" spans="4:5">
      <c r="D34">
        <f t="shared" si="1"/>
        <v>0</v>
      </c>
      <c r="E34">
        <v>0</v>
      </c>
    </row>
    <row r="35" spans="4:5">
      <c r="D35">
        <f t="shared" si="1"/>
        <v>0</v>
      </c>
      <c r="E35">
        <v>0</v>
      </c>
    </row>
    <row r="36" spans="4:5">
      <c r="D36">
        <f t="shared" si="1"/>
        <v>0</v>
      </c>
      <c r="E36">
        <v>0</v>
      </c>
    </row>
    <row r="37" spans="4:5">
      <c r="D37">
        <f t="shared" si="1"/>
        <v>0</v>
      </c>
      <c r="E37">
        <v>0</v>
      </c>
    </row>
    <row r="38" spans="4:5">
      <c r="D38">
        <f t="shared" si="1"/>
        <v>0</v>
      </c>
      <c r="E38">
        <v>0</v>
      </c>
    </row>
    <row r="39" spans="4:5">
      <c r="D39">
        <f t="shared" si="1"/>
        <v>0</v>
      </c>
      <c r="E39">
        <v>0</v>
      </c>
    </row>
    <row r="40" spans="4:5">
      <c r="D40">
        <f t="shared" si="1"/>
        <v>0</v>
      </c>
      <c r="E40">
        <v>0</v>
      </c>
    </row>
    <row r="41" spans="4:5">
      <c r="D41">
        <f t="shared" si="1"/>
        <v>0</v>
      </c>
      <c r="E41">
        <v>0</v>
      </c>
    </row>
    <row r="42" spans="4:5">
      <c r="D42">
        <f t="shared" si="1"/>
        <v>0</v>
      </c>
      <c r="E42">
        <v>0</v>
      </c>
    </row>
    <row r="43" spans="4:5">
      <c r="D43">
        <f t="shared" si="1"/>
        <v>0</v>
      </c>
      <c r="E43">
        <v>0</v>
      </c>
    </row>
    <row r="44" spans="4:5">
      <c r="D44">
        <f t="shared" si="1"/>
        <v>0</v>
      </c>
      <c r="E44">
        <v>0</v>
      </c>
    </row>
    <row r="45" spans="4:5">
      <c r="D45">
        <f t="shared" si="1"/>
        <v>0</v>
      </c>
      <c r="E45">
        <v>0</v>
      </c>
    </row>
    <row r="46" spans="4:5">
      <c r="D46">
        <f t="shared" si="1"/>
        <v>0</v>
      </c>
      <c r="E46">
        <v>0</v>
      </c>
    </row>
    <row r="47" spans="4:5">
      <c r="D47">
        <f t="shared" si="1"/>
        <v>0</v>
      </c>
      <c r="E47">
        <v>0</v>
      </c>
    </row>
    <row r="48" spans="4:5">
      <c r="D48">
        <f t="shared" si="1"/>
        <v>0</v>
      </c>
      <c r="E48">
        <v>0</v>
      </c>
    </row>
    <row r="49" spans="4:5">
      <c r="D49">
        <f t="shared" si="1"/>
        <v>0</v>
      </c>
      <c r="E49">
        <v>0</v>
      </c>
    </row>
    <row r="50" spans="4:5">
      <c r="D50">
        <f t="shared" si="1"/>
        <v>0</v>
      </c>
      <c r="E50">
        <v>0</v>
      </c>
    </row>
  </sheetData>
  <phoneticPr fontId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54A4-4114-9247-A22B-86D949E5BF9F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AD249-AF4B-3447-B438-6B367E8A37FC}">
  <dimension ref="A1:AJ50"/>
  <sheetViews>
    <sheetView zoomScaleNormal="100" workbookViewId="0">
      <selection activeCell="O2" sqref="O2"/>
    </sheetView>
  </sheetViews>
  <sheetFormatPr baseColWidth="10" defaultColWidth="11.5703125" defaultRowHeight="20"/>
  <cols>
    <col min="4" max="4" width="24" bestFit="1" customWidth="1"/>
  </cols>
  <sheetData>
    <row r="1" spans="1:36" ht="22">
      <c r="A1" t="s">
        <v>0</v>
      </c>
      <c r="B1" t="s">
        <v>1</v>
      </c>
      <c r="C1" t="s">
        <v>2</v>
      </c>
      <c r="D1" t="s">
        <v>3</v>
      </c>
      <c r="E1" t="s">
        <v>4</v>
      </c>
      <c r="M1" t="s">
        <v>17</v>
      </c>
      <c r="N1" t="s">
        <v>1</v>
      </c>
      <c r="O1" t="s">
        <v>2</v>
      </c>
      <c r="V1" t="s">
        <v>18</v>
      </c>
      <c r="W1" t="s">
        <v>7</v>
      </c>
      <c r="X1" t="s">
        <v>8</v>
      </c>
      <c r="AF1" t="s">
        <v>19</v>
      </c>
      <c r="AG1" t="s">
        <v>7</v>
      </c>
      <c r="AH1" t="s">
        <v>8</v>
      </c>
    </row>
    <row r="2" spans="1:36">
      <c r="A2" t="s">
        <v>10</v>
      </c>
      <c r="D2">
        <f>(20*(10^3)*B2+(10^4)*C2)/(20*(10^3)+(10^4))</f>
        <v>0</v>
      </c>
      <c r="E2">
        <v>0</v>
      </c>
    </row>
    <row r="3" spans="1:36">
      <c r="D3">
        <f t="shared" ref="D3:D50" si="0">(20*(10^3)*B3+(10^4)*C3)/(20*(10^3)+(10^4))</f>
        <v>0</v>
      </c>
      <c r="E3">
        <v>0</v>
      </c>
    </row>
    <row r="4" spans="1:36">
      <c r="D4">
        <f t="shared" si="0"/>
        <v>0</v>
      </c>
      <c r="E4">
        <v>0</v>
      </c>
    </row>
    <row r="5" spans="1:36">
      <c r="D5">
        <f t="shared" si="0"/>
        <v>0</v>
      </c>
      <c r="E5">
        <v>0</v>
      </c>
    </row>
    <row r="6" spans="1:36">
      <c r="D6">
        <f t="shared" si="0"/>
        <v>0</v>
      </c>
      <c r="E6">
        <v>0</v>
      </c>
    </row>
    <row r="7" spans="1:36">
      <c r="D7">
        <f t="shared" si="0"/>
        <v>0</v>
      </c>
      <c r="E7">
        <v>0</v>
      </c>
    </row>
    <row r="8" spans="1:36">
      <c r="D8">
        <f t="shared" si="0"/>
        <v>0</v>
      </c>
      <c r="E8">
        <v>0</v>
      </c>
    </row>
    <row r="9" spans="1:36">
      <c r="D9">
        <f t="shared" si="0"/>
        <v>0</v>
      </c>
      <c r="E9">
        <v>0</v>
      </c>
    </row>
    <row r="10" spans="1:36">
      <c r="D10">
        <f t="shared" si="0"/>
        <v>0</v>
      </c>
      <c r="E10">
        <v>0</v>
      </c>
    </row>
    <row r="11" spans="1:36">
      <c r="D11">
        <f t="shared" si="0"/>
        <v>0</v>
      </c>
      <c r="E11">
        <v>0</v>
      </c>
    </row>
    <row r="12" spans="1:36">
      <c r="D12">
        <f t="shared" si="0"/>
        <v>0</v>
      </c>
      <c r="E12">
        <v>0</v>
      </c>
    </row>
    <row r="13" spans="1:36">
      <c r="D13">
        <f t="shared" si="0"/>
        <v>0</v>
      </c>
      <c r="E13">
        <v>0</v>
      </c>
    </row>
    <row r="14" spans="1:36">
      <c r="D14">
        <f t="shared" si="0"/>
        <v>0</v>
      </c>
      <c r="E14">
        <v>0</v>
      </c>
      <c r="G14" t="s">
        <v>11</v>
      </c>
      <c r="H14" t="s">
        <v>12</v>
      </c>
      <c r="I14" t="s">
        <v>13</v>
      </c>
      <c r="J14" t="s">
        <v>14</v>
      </c>
    </row>
    <row r="15" spans="1:36">
      <c r="D15">
        <f t="shared" si="0"/>
        <v>0</v>
      </c>
      <c r="E15">
        <v>0</v>
      </c>
      <c r="G15" t="e">
        <f>SLOPE(C2:C50,B2:B50)</f>
        <v>#DIV/0!</v>
      </c>
      <c r="H15">
        <v>-2</v>
      </c>
      <c r="I15" t="e">
        <f>INTERCEPT(C2:C50,B2:B50)</f>
        <v>#DIV/0!</v>
      </c>
      <c r="J15">
        <v>0</v>
      </c>
    </row>
    <row r="16" spans="1:36">
      <c r="D16">
        <f t="shared" si="0"/>
        <v>0</v>
      </c>
      <c r="E16">
        <v>0</v>
      </c>
      <c r="G16" t="s">
        <v>15</v>
      </c>
      <c r="AJ16" t="s">
        <v>16</v>
      </c>
    </row>
    <row r="17" spans="4:7">
      <c r="D17">
        <f t="shared" si="0"/>
        <v>0</v>
      </c>
      <c r="E17">
        <v>0</v>
      </c>
      <c r="G17" t="e">
        <f>100*(ABS(G15-H15))/H15</f>
        <v>#DIV/0!</v>
      </c>
    </row>
    <row r="18" spans="4:7">
      <c r="D18">
        <f t="shared" si="0"/>
        <v>0</v>
      </c>
      <c r="E18">
        <v>0</v>
      </c>
    </row>
    <row r="19" spans="4:7">
      <c r="D19">
        <f t="shared" si="0"/>
        <v>0</v>
      </c>
      <c r="E19">
        <v>0</v>
      </c>
    </row>
    <row r="20" spans="4:7">
      <c r="D20">
        <f t="shared" si="0"/>
        <v>0</v>
      </c>
      <c r="E20">
        <v>0</v>
      </c>
    </row>
    <row r="21" spans="4:7">
      <c r="D21">
        <f t="shared" si="0"/>
        <v>0</v>
      </c>
      <c r="E21">
        <v>0</v>
      </c>
    </row>
    <row r="22" spans="4:7">
      <c r="D22">
        <f t="shared" si="0"/>
        <v>0</v>
      </c>
      <c r="E22">
        <v>0</v>
      </c>
    </row>
    <row r="23" spans="4:7">
      <c r="D23">
        <f t="shared" si="0"/>
        <v>0</v>
      </c>
      <c r="E23">
        <v>0</v>
      </c>
    </row>
    <row r="24" spans="4:7">
      <c r="D24">
        <f t="shared" si="0"/>
        <v>0</v>
      </c>
      <c r="E24">
        <v>0</v>
      </c>
    </row>
    <row r="25" spans="4:7">
      <c r="D25">
        <f t="shared" si="0"/>
        <v>0</v>
      </c>
      <c r="E25">
        <v>0</v>
      </c>
    </row>
    <row r="26" spans="4:7">
      <c r="D26">
        <f t="shared" si="0"/>
        <v>0</v>
      </c>
      <c r="E26">
        <v>0</v>
      </c>
    </row>
    <row r="27" spans="4:7">
      <c r="D27">
        <f t="shared" si="0"/>
        <v>0</v>
      </c>
      <c r="E27">
        <v>0</v>
      </c>
    </row>
    <row r="28" spans="4:7">
      <c r="D28">
        <f t="shared" si="0"/>
        <v>0</v>
      </c>
      <c r="E28">
        <v>0</v>
      </c>
    </row>
    <row r="29" spans="4:7">
      <c r="D29">
        <f t="shared" si="0"/>
        <v>0</v>
      </c>
      <c r="E29">
        <v>0</v>
      </c>
    </row>
    <row r="30" spans="4:7">
      <c r="D30">
        <f t="shared" si="0"/>
        <v>0</v>
      </c>
      <c r="E30">
        <v>0</v>
      </c>
    </row>
    <row r="31" spans="4:7">
      <c r="D31">
        <f t="shared" si="0"/>
        <v>0</v>
      </c>
      <c r="E31">
        <v>0</v>
      </c>
    </row>
    <row r="32" spans="4:7">
      <c r="D32">
        <f t="shared" si="0"/>
        <v>0</v>
      </c>
      <c r="E32">
        <v>0</v>
      </c>
    </row>
    <row r="33" spans="4:5">
      <c r="D33">
        <f t="shared" si="0"/>
        <v>0</v>
      </c>
      <c r="E33">
        <v>0</v>
      </c>
    </row>
    <row r="34" spans="4:5">
      <c r="D34">
        <f t="shared" si="0"/>
        <v>0</v>
      </c>
      <c r="E34">
        <v>0</v>
      </c>
    </row>
    <row r="35" spans="4:5">
      <c r="D35">
        <f t="shared" si="0"/>
        <v>0</v>
      </c>
      <c r="E35">
        <v>0</v>
      </c>
    </row>
    <row r="36" spans="4:5">
      <c r="D36">
        <f t="shared" si="0"/>
        <v>0</v>
      </c>
      <c r="E36">
        <v>0</v>
      </c>
    </row>
    <row r="37" spans="4:5">
      <c r="D37">
        <f t="shared" si="0"/>
        <v>0</v>
      </c>
      <c r="E37">
        <v>0</v>
      </c>
    </row>
    <row r="38" spans="4:5">
      <c r="D38">
        <f t="shared" si="0"/>
        <v>0</v>
      </c>
      <c r="E38">
        <v>0</v>
      </c>
    </row>
    <row r="39" spans="4:5">
      <c r="D39">
        <f t="shared" si="0"/>
        <v>0</v>
      </c>
      <c r="E39">
        <v>0</v>
      </c>
    </row>
    <row r="40" spans="4:5">
      <c r="D40">
        <f t="shared" si="0"/>
        <v>0</v>
      </c>
      <c r="E40">
        <v>0</v>
      </c>
    </row>
    <row r="41" spans="4:5">
      <c r="D41">
        <f t="shared" si="0"/>
        <v>0</v>
      </c>
      <c r="E41">
        <v>0</v>
      </c>
    </row>
    <row r="42" spans="4:5">
      <c r="D42">
        <f t="shared" si="0"/>
        <v>0</v>
      </c>
      <c r="E42">
        <v>0</v>
      </c>
    </row>
    <row r="43" spans="4:5">
      <c r="D43">
        <f t="shared" si="0"/>
        <v>0</v>
      </c>
      <c r="E43">
        <v>0</v>
      </c>
    </row>
    <row r="44" spans="4:5">
      <c r="D44">
        <f t="shared" si="0"/>
        <v>0</v>
      </c>
      <c r="E44">
        <v>0</v>
      </c>
    </row>
    <row r="45" spans="4:5">
      <c r="D45">
        <f t="shared" si="0"/>
        <v>0</v>
      </c>
      <c r="E45">
        <v>0</v>
      </c>
    </row>
    <row r="46" spans="4:5">
      <c r="D46">
        <f t="shared" si="0"/>
        <v>0</v>
      </c>
      <c r="E46">
        <v>0</v>
      </c>
    </row>
    <row r="47" spans="4:5">
      <c r="D47">
        <f t="shared" si="0"/>
        <v>0</v>
      </c>
      <c r="E47">
        <v>0</v>
      </c>
    </row>
    <row r="48" spans="4:5">
      <c r="D48">
        <f t="shared" si="0"/>
        <v>0</v>
      </c>
      <c r="E48">
        <v>0</v>
      </c>
    </row>
    <row r="49" spans="4:5">
      <c r="D49">
        <f t="shared" si="0"/>
        <v>0</v>
      </c>
      <c r="E49">
        <v>0</v>
      </c>
    </row>
    <row r="50" spans="4:5">
      <c r="D50">
        <f t="shared" si="0"/>
        <v>0</v>
      </c>
      <c r="E50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周東いる班(反転増幅回路)</vt:lpstr>
      <vt:lpstr>周東いる班(非反転増幅回路)</vt:lpstr>
      <vt:lpstr>周東いる班(ボルテージフォロワ) </vt:lpstr>
      <vt:lpstr>周東いる班(ボルテージフォロワ100kΩ)</vt:lpstr>
      <vt:lpstr>周東いる班(加算回路)</vt:lpstr>
      <vt:lpstr>周東いる班(減算回路)</vt:lpstr>
      <vt:lpstr>いない班(反転増幅回路)</vt:lpstr>
      <vt:lpstr>いない班(非反転増幅回路)</vt:lpstr>
      <vt:lpstr>いない班(ボルテージフォロワ)</vt:lpstr>
      <vt:lpstr>いない班(ボルテージフォロワ) (100kΩ直列)</vt:lpstr>
      <vt:lpstr>いない班(加算回路)</vt:lpstr>
      <vt:lpstr>　いない班(減算回路) </vt:lpstr>
      <vt:lpstr>Sheet1</vt:lpstr>
      <vt:lpstr>コピー元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周東　玖龍</dc:creator>
  <cp:keywords/>
  <dc:description/>
  <cp:lastModifiedBy>谷口　天眞</cp:lastModifiedBy>
  <cp:revision/>
  <dcterms:created xsi:type="dcterms:W3CDTF">2025-10-13T04:03:48Z</dcterms:created>
  <dcterms:modified xsi:type="dcterms:W3CDTF">2026-01-05T02:31:20Z</dcterms:modified>
  <cp:category/>
  <cp:contentStatus/>
</cp:coreProperties>
</file>