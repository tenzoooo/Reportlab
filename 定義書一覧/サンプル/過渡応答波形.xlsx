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enzooo/Desktop/サンプル/"/>
    </mc:Choice>
  </mc:AlternateContent>
  <xr:revisionPtr revIDLastSave="0" documentId="13_ncr:1_{A4F514CF-FCF8-064E-990F-C731AA5925A6}" xr6:coauthVersionLast="47" xr6:coauthVersionMax="47" xr10:uidLastSave="{00000000-0000-0000-0000-000000000000}"/>
  <bookViews>
    <workbookView xWindow="0" yWindow="740" windowWidth="29400" windowHeight="18380" xr2:uid="{323CEC6E-E788-7D42-8037-F6A09AE83B55}"/>
  </bookViews>
  <sheets>
    <sheet name="あきと" sheetId="2" r:id="rId1"/>
    <sheet name="瑛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O9" i="2"/>
  <c r="Q9" i="2" s="1"/>
  <c r="J12" i="2" s="1"/>
  <c r="M9" i="2"/>
  <c r="L9" i="2"/>
  <c r="K9" i="2"/>
  <c r="N9" i="2" s="1"/>
  <c r="F9" i="2"/>
  <c r="F10" i="2" s="1"/>
  <c r="F11" i="2" s="1"/>
  <c r="F16" i="2"/>
  <c r="E16" i="2"/>
  <c r="E15" i="2"/>
  <c r="E14" i="2"/>
  <c r="F13" i="2"/>
  <c r="E9" i="2"/>
  <c r="G9" i="2" s="1"/>
  <c r="F13" i="1"/>
  <c r="E13" i="1"/>
  <c r="E12" i="1"/>
  <c r="E11" i="1"/>
  <c r="F10" i="1"/>
  <c r="F9" i="1"/>
  <c r="E9" i="1"/>
  <c r="H9" i="1" s="1"/>
  <c r="M12" i="2" l="1"/>
  <c r="P9" i="2"/>
  <c r="R9" i="2" s="1"/>
  <c r="K12" i="2" s="1"/>
  <c r="N12" i="2" s="1"/>
  <c r="E10" i="2"/>
  <c r="C9" i="1"/>
  <c r="G9" i="1" s="1"/>
  <c r="H9" i="2"/>
  <c r="H10" i="2" l="1"/>
  <c r="G10" i="2"/>
  <c r="E11" i="2"/>
  <c r="H11" i="2" l="1"/>
  <c r="G11" i="2"/>
</calcChain>
</file>

<file path=xl/sharedStrings.xml><?xml version="1.0" encoding="utf-8"?>
<sst xmlns="http://schemas.openxmlformats.org/spreadsheetml/2006/main" count="51" uniqueCount="35">
  <si>
    <t>Lの内部抵抗[Ω]</t>
    <rPh sb="2" eb="4">
      <t>ナイブ</t>
    </rPh>
    <rPh sb="4" eb="6">
      <t>テイコウ</t>
    </rPh>
    <phoneticPr fontId="1"/>
  </si>
  <si>
    <t>実験</t>
    <phoneticPr fontId="1"/>
  </si>
  <si>
    <t>遮断周波数f[Hz]</t>
    <rPh sb="0" eb="5">
      <t>シャダn</t>
    </rPh>
    <phoneticPr fontId="1"/>
  </si>
  <si>
    <t>R(可変抵抗)[Ω]もしくはR1</t>
    <rPh sb="2" eb="6">
      <t>カヘn</t>
    </rPh>
    <phoneticPr fontId="1"/>
  </si>
  <si>
    <t>R2[Ω]</t>
    <phoneticPr fontId="1"/>
  </si>
  <si>
    <t>L[H]</t>
    <phoneticPr fontId="1"/>
  </si>
  <si>
    <t>C[F]</t>
    <phoneticPr fontId="1"/>
  </si>
  <si>
    <t>α</t>
    <phoneticPr fontId="1"/>
  </si>
  <si>
    <t>ω0</t>
    <phoneticPr fontId="1"/>
  </si>
  <si>
    <t>R[Ω]</t>
    <phoneticPr fontId="1"/>
  </si>
  <si>
    <t>a</t>
    <phoneticPr fontId="1"/>
  </si>
  <si>
    <t>β</t>
    <phoneticPr fontId="1"/>
  </si>
  <si>
    <t>共振周波数</t>
    <rPh sb="0" eb="2">
      <t>キョウシn</t>
    </rPh>
    <rPh sb="2" eb="5">
      <t>シュウ</t>
    </rPh>
    <phoneticPr fontId="1"/>
  </si>
  <si>
    <t>固有周波数</t>
    <rPh sb="0" eb="5">
      <t>コユウ</t>
    </rPh>
    <phoneticPr fontId="1"/>
  </si>
  <si>
    <t>4の1(α=ω0→臨界状態)</t>
    <rPh sb="9" eb="13">
      <t>リンカイ</t>
    </rPh>
    <phoneticPr fontId="1"/>
  </si>
  <si>
    <t>振動的(a&lt;ω0)</t>
    <rPh sb="0" eb="3">
      <t>シンドウ</t>
    </rPh>
    <phoneticPr fontId="1"/>
  </si>
  <si>
    <t>α&gt;ω0→非振動的</t>
    <rPh sb="2" eb="4">
      <t>シn</t>
    </rPh>
    <rPh sb="4" eb="5">
      <t>テキ</t>
    </rPh>
    <phoneticPr fontId="1"/>
  </si>
  <si>
    <t>α&lt;ω0→振動的</t>
    <rPh sb="2" eb="4">
      <t>シンドウ</t>
    </rPh>
    <phoneticPr fontId="1"/>
  </si>
  <si>
    <t>共振周波数f1</t>
    <rPh sb="0" eb="5">
      <t>キョウシn</t>
    </rPh>
    <phoneticPr fontId="1"/>
  </si>
  <si>
    <t>固有周波数f2</t>
    <rPh sb="0" eb="5">
      <t>コユウス</t>
    </rPh>
    <phoneticPr fontId="1"/>
  </si>
  <si>
    <t>測定値f0</t>
    <rPh sb="0" eb="3">
      <t>ソクテイ</t>
    </rPh>
    <phoneticPr fontId="1"/>
  </si>
  <si>
    <t>相対誤差(f0,f1)</t>
    <rPh sb="0" eb="4">
      <t>ソウタイ</t>
    </rPh>
    <phoneticPr fontId="1"/>
  </si>
  <si>
    <t>相対誤差(f0,f2)</t>
    <rPh sb="0" eb="4">
      <t>ソウタイ</t>
    </rPh>
    <phoneticPr fontId="1"/>
  </si>
  <si>
    <t>4の2a</t>
    <phoneticPr fontId="1"/>
  </si>
  <si>
    <t>b</t>
    <phoneticPr fontId="1"/>
  </si>
  <si>
    <t>c</t>
    <phoneticPr fontId="1"/>
  </si>
  <si>
    <t>d</t>
    <phoneticPr fontId="1"/>
  </si>
  <si>
    <t>4の1</t>
    <phoneticPr fontId="1"/>
  </si>
  <si>
    <t>実験4.1</t>
  </si>
  <si>
    <t>抵抗値[Ω]</t>
  </si>
  <si>
    <t>41.8k</t>
  </si>
  <si>
    <t>13.71k</t>
  </si>
  <si>
    <t>↑272Ωだと思う</t>
    <rPh sb="7" eb="8">
      <t>オモ</t>
    </rPh>
    <phoneticPr fontId="1"/>
  </si>
  <si>
    <t>mathematicaで波形を表示させたときに27.2Ωよりも272Ωの方がオシロで観測した波形が近い気がする</t>
    <rPh sb="12" eb="14">
      <t>ハケイ</t>
    </rPh>
    <rPh sb="15" eb="17">
      <t>ヒョウジ</t>
    </rPh>
    <rPh sb="36" eb="37">
      <t>ホウ</t>
    </rPh>
    <rPh sb="42" eb="44">
      <t>カンソク</t>
    </rPh>
    <rPh sb="46" eb="48">
      <t>ハケイ</t>
    </rPh>
    <rPh sb="49" eb="50">
      <t>チカ</t>
    </rPh>
    <rPh sb="51" eb="52">
      <t>キ</t>
    </rPh>
    <phoneticPr fontId="1"/>
  </si>
  <si>
    <t>３２t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</si>
</sst>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89CA8-2F0E-B44B-8BFD-F76223EBF3EA}" name="テーブル1" displayName="テーブル1" ref="A8:H11" totalsRowShown="0">
  <autoFilter ref="A8:H11" xr:uid="{CAA89CA8-2F0E-B44B-8BFD-F76223EBF3EA}"/>
  <tableColumns count="8">
    <tableColumn id="1" xr3:uid="{E08D69B5-F2D6-A24F-BB0E-A15D51814F96}" name="実験"/>
    <tableColumn id="2" xr3:uid="{6A5F27E9-357E-6C41-A57E-4F170E3AD235}" name="遮断周波数f[Hz]"/>
    <tableColumn id="3" xr3:uid="{16096263-1E83-E24E-BF32-14F450617598}" name="R(可変抵抗)[Ω]もしくはR1"/>
    <tableColumn id="4" xr3:uid="{6C5F9F85-8986-BF46-A057-5AAE0FEBDFA5}" name="R2[Ω]"/>
    <tableColumn id="5" xr3:uid="{A4B65BEB-0AAE-8C49-B69C-03FB9B34BB68}" name="L[H]">
      <calculatedColumnFormula>E8</calculatedColumnFormula>
    </tableColumn>
    <tableColumn id="6" xr3:uid="{BE511C96-88F3-BB41-88B9-EC264226F691}" name="C[F]">
      <calculatedColumnFormula>F8</calculatedColumnFormula>
    </tableColumn>
    <tableColumn id="7" xr3:uid="{63C547FE-0E5F-0940-88CC-AD01C1BD3567}" name="α">
      <calculatedColumnFormula>C9/(2*E9)</calculatedColumnFormula>
    </tableColumn>
    <tableColumn id="8" xr3:uid="{2907D74B-A662-1247-AE74-BD876D62DAEA}" name="ω0">
      <calculatedColumnFormula>1/((E9*F9)^(1/2))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D8D2-E919-C343-AAD7-5E1B89F793D1}">
  <dimension ref="A4:R18"/>
  <sheetViews>
    <sheetView tabSelected="1" zoomScale="99" zoomScaleNormal="99" workbookViewId="0">
      <selection activeCell="B18" sqref="B18:B21"/>
    </sheetView>
  </sheetViews>
  <sheetFormatPr baseColWidth="10" defaultColWidth="10.85546875" defaultRowHeight="20"/>
  <cols>
    <col min="1" max="1" width="21.7109375" bestFit="1" customWidth="1"/>
    <col min="2" max="2" width="16" customWidth="1"/>
    <col min="3" max="3" width="24.85546875" customWidth="1"/>
    <col min="4" max="4" width="10.7109375" bestFit="1" customWidth="1"/>
    <col min="5" max="5" width="11.28515625" bestFit="1" customWidth="1"/>
    <col min="6" max="6" width="11" bestFit="1" customWidth="1"/>
    <col min="10" max="10" width="15.7109375" bestFit="1" customWidth="1"/>
    <col min="11" max="11" width="12.28515625" bestFit="1" customWidth="1"/>
    <col min="12" max="12" width="5.28515625" bestFit="1" customWidth="1"/>
    <col min="13" max="14" width="14.28515625" bestFit="1" customWidth="1"/>
    <col min="15" max="15" width="4.140625" bestFit="1" customWidth="1"/>
    <col min="16" max="16" width="3.140625" bestFit="1" customWidth="1"/>
    <col min="17" max="18" width="10.42578125" bestFit="1" customWidth="1"/>
  </cols>
  <sheetData>
    <row r="4" spans="1:18">
      <c r="A4" t="s">
        <v>0</v>
      </c>
    </row>
    <row r="5" spans="1:18">
      <c r="A5">
        <v>9</v>
      </c>
    </row>
    <row r="8" spans="1:1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K8" t="s">
        <v>9</v>
      </c>
      <c r="L8" t="s">
        <v>5</v>
      </c>
      <c r="M8" t="s">
        <v>6</v>
      </c>
      <c r="N8" t="s">
        <v>10</v>
      </c>
      <c r="O8" t="s">
        <v>8</v>
      </c>
      <c r="P8" t="s">
        <v>11</v>
      </c>
      <c r="Q8" t="s">
        <v>12</v>
      </c>
      <c r="R8" t="s">
        <v>13</v>
      </c>
    </row>
    <row r="9" spans="1:18">
      <c r="A9" s="1" t="s">
        <v>14</v>
      </c>
      <c r="C9">
        <v>13710</v>
      </c>
      <c r="E9">
        <f>4.7*(10^(-3))</f>
        <v>4.7000000000000002E-3</v>
      </c>
      <c r="F9">
        <f>100*(10^(-12))</f>
        <v>1E-10</v>
      </c>
      <c r="G9">
        <f>C9/(2*E9)</f>
        <v>1458510.6382978724</v>
      </c>
      <c r="H9">
        <f>1/((E9*F9)^(1/2))</f>
        <v>1458649.9149789456</v>
      </c>
      <c r="J9" t="s">
        <v>15</v>
      </c>
      <c r="K9">
        <f>C11</f>
        <v>113</v>
      </c>
      <c r="L9">
        <f>E9</f>
        <v>4.7000000000000002E-3</v>
      </c>
      <c r="M9">
        <f>F9</f>
        <v>1E-10</v>
      </c>
      <c r="N9">
        <f>K9/(2*L9)</f>
        <v>12021.276595744681</v>
      </c>
      <c r="O9">
        <f>1/((L9*M9)^(1/2))</f>
        <v>1458649.9149789456</v>
      </c>
      <c r="P9">
        <f>(((O9)^2)-((N9)^2))^(1/2)</f>
        <v>1458600.3782315066</v>
      </c>
      <c r="Q9">
        <f>O9/(2*PI())</f>
        <v>232151.34420947207</v>
      </c>
      <c r="R9">
        <f>P9/(2*PI())</f>
        <v>232143.46019125244</v>
      </c>
    </row>
    <row r="10" spans="1:18">
      <c r="A10" t="s">
        <v>16</v>
      </c>
      <c r="C10">
        <v>27600</v>
      </c>
      <c r="E10">
        <f>E9</f>
        <v>4.7000000000000002E-3</v>
      </c>
      <c r="F10">
        <f>F9</f>
        <v>1E-10</v>
      </c>
      <c r="G10">
        <f t="shared" ref="G10:G11" si="0">C10/(2*E10)</f>
        <v>2936170.2127659572</v>
      </c>
      <c r="H10">
        <f t="shared" ref="H10:H11" si="1">1/((E10*F10)^(1/2))</f>
        <v>1458649.9149789456</v>
      </c>
    </row>
    <row r="11" spans="1:18">
      <c r="A11" t="s">
        <v>17</v>
      </c>
      <c r="C11">
        <v>113</v>
      </c>
      <c r="E11">
        <f>E10</f>
        <v>4.7000000000000002E-3</v>
      </c>
      <c r="F11">
        <f>F10</f>
        <v>1E-10</v>
      </c>
      <c r="G11">
        <f t="shared" si="0"/>
        <v>12021.276595744681</v>
      </c>
      <c r="H11">
        <f t="shared" si="1"/>
        <v>1458649.9149789456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</row>
    <row r="12" spans="1:18">
      <c r="J12" s="2">
        <f>Q9</f>
        <v>232151.34420947207</v>
      </c>
      <c r="K12" s="2">
        <f>R9</f>
        <v>232143.46019125244</v>
      </c>
      <c r="L12" s="2">
        <f>2*(10^5)</f>
        <v>200000</v>
      </c>
      <c r="M12" s="2">
        <f>100*(ABS(L12-J12))/J12</f>
        <v>13.849303487324047</v>
      </c>
      <c r="N12" s="2">
        <f>100*(ABS(K12-L12))/L12</f>
        <v>16.071730095626219</v>
      </c>
    </row>
    <row r="13" spans="1:18">
      <c r="A13" t="s">
        <v>23</v>
      </c>
      <c r="C13">
        <v>5000</v>
      </c>
      <c r="D13">
        <v>5000</v>
      </c>
      <c r="F13">
        <f>1273*(10^(-12))</f>
        <v>1.2730000000000001E-9</v>
      </c>
    </row>
    <row r="14" spans="1:18">
      <c r="A14" t="s">
        <v>24</v>
      </c>
      <c r="C14">
        <v>5000</v>
      </c>
      <c r="D14">
        <v>5000</v>
      </c>
      <c r="E14">
        <f>22.5*(10^-3)</f>
        <v>2.2499999999999999E-2</v>
      </c>
      <c r="F14">
        <v>900</v>
      </c>
    </row>
    <row r="15" spans="1:18">
      <c r="A15" t="s">
        <v>25</v>
      </c>
      <c r="B15">
        <v>50000</v>
      </c>
      <c r="C15">
        <v>5000</v>
      </c>
      <c r="D15">
        <v>5000</v>
      </c>
      <c r="E15">
        <f>31.8*(10^-3)</f>
        <v>3.1800000000000002E-2</v>
      </c>
      <c r="F15">
        <v>637</v>
      </c>
    </row>
    <row r="16" spans="1:18">
      <c r="A16" t="s">
        <v>26</v>
      </c>
      <c r="B16">
        <v>50000</v>
      </c>
      <c r="C16">
        <v>5000</v>
      </c>
      <c r="D16">
        <v>5000</v>
      </c>
      <c r="E16">
        <f>20*(10^-3 )</f>
        <v>0.02</v>
      </c>
      <c r="F16">
        <f>1187*(10^-12)</f>
        <v>1.1869999999999999E-9</v>
      </c>
    </row>
    <row r="18" spans="2:2">
      <c r="B18" t="s">
        <v>34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8948-2BFE-0E46-AF41-0E14D95A8C6F}">
  <dimension ref="A4:H23"/>
  <sheetViews>
    <sheetView workbookViewId="0">
      <selection sqref="A1:A1048576"/>
    </sheetView>
  </sheetViews>
  <sheetFormatPr baseColWidth="10" defaultColWidth="10.85546875" defaultRowHeight="20"/>
  <cols>
    <col min="1" max="1" width="14.42578125" bestFit="1" customWidth="1"/>
    <col min="2" max="3" width="24.28515625" bestFit="1" customWidth="1"/>
    <col min="5" max="5" width="11" bestFit="1" customWidth="1"/>
  </cols>
  <sheetData>
    <row r="4" spans="1:8">
      <c r="A4" t="s">
        <v>0</v>
      </c>
    </row>
    <row r="5" spans="1:8">
      <c r="A5">
        <v>34.6</v>
      </c>
    </row>
    <row r="8" spans="1: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 spans="1:8">
      <c r="A9" s="1" t="s">
        <v>27</v>
      </c>
      <c r="C9">
        <f>2*((E9/F9)^(1/2))</f>
        <v>13711.309200802089</v>
      </c>
      <c r="E9">
        <f>4.7*(10^(-3))</f>
        <v>4.7000000000000002E-3</v>
      </c>
      <c r="F9">
        <f>100*(10^(-12))</f>
        <v>1E-10</v>
      </c>
      <c r="G9">
        <f>C9/(2*E9)</f>
        <v>1458649.9149789456</v>
      </c>
      <c r="H9">
        <f>1/((E9*F9)^(1/2))</f>
        <v>1458649.9149789456</v>
      </c>
    </row>
    <row r="10" spans="1:8">
      <c r="A10" t="s">
        <v>23</v>
      </c>
      <c r="C10">
        <v>5000</v>
      </c>
      <c r="D10">
        <v>5000</v>
      </c>
      <c r="F10">
        <f>1273*(10^(-12))</f>
        <v>1.2730000000000001E-9</v>
      </c>
    </row>
    <row r="11" spans="1:8">
      <c r="A11" t="s">
        <v>24</v>
      </c>
      <c r="C11">
        <v>5000</v>
      </c>
      <c r="D11">
        <v>5000</v>
      </c>
      <c r="E11">
        <f>22.5*(10^-3)</f>
        <v>2.2499999999999999E-2</v>
      </c>
      <c r="F11">
        <v>900</v>
      </c>
    </row>
    <row r="12" spans="1:8">
      <c r="A12" t="s">
        <v>25</v>
      </c>
      <c r="B12">
        <v>50000</v>
      </c>
      <c r="C12">
        <v>5000</v>
      </c>
      <c r="D12">
        <v>5000</v>
      </c>
      <c r="E12">
        <f>31.8*(10^-3)</f>
        <v>3.1800000000000002E-2</v>
      </c>
      <c r="F12">
        <v>637</v>
      </c>
    </row>
    <row r="13" spans="1:8">
      <c r="A13" t="s">
        <v>26</v>
      </c>
      <c r="B13">
        <v>50000</v>
      </c>
      <c r="C13">
        <v>5000</v>
      </c>
      <c r="D13">
        <v>5000</v>
      </c>
      <c r="E13">
        <f>20*(10^-3 )</f>
        <v>0.02</v>
      </c>
      <c r="F13">
        <f>1187*(10^-12)</f>
        <v>1.1869999999999999E-9</v>
      </c>
    </row>
    <row r="18" spans="1:2">
      <c r="A18" t="s">
        <v>28</v>
      </c>
      <c r="B18" t="s">
        <v>29</v>
      </c>
    </row>
    <row r="19" spans="1:2">
      <c r="B19" t="s">
        <v>30</v>
      </c>
    </row>
    <row r="20" spans="1:2">
      <c r="B20" t="s">
        <v>31</v>
      </c>
    </row>
    <row r="21" spans="1:2">
      <c r="B21">
        <v>27.2</v>
      </c>
    </row>
    <row r="22" spans="1:2">
      <c r="B22" t="s">
        <v>32</v>
      </c>
    </row>
    <row r="23" spans="1:2">
      <c r="B23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あきと</vt:lpstr>
      <vt:lpstr>瑛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2025-06-02T02:16:06Z</dcterms:created>
  <dcterms:modified xsi:type="dcterms:W3CDTF">2025-09-15T11:56:42Z</dcterms:modified>
  <cp:category/>
  <cp:contentStatus/>
</cp:coreProperties>
</file>