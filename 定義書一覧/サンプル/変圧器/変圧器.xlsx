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enzooo/Downloads/"/>
    </mc:Choice>
  </mc:AlternateContent>
  <xr:revisionPtr revIDLastSave="0" documentId="13_ncr:1_{AC3BEDF9-333E-3044-9F3A-B9A9E9300230}" xr6:coauthVersionLast="47" xr6:coauthVersionMax="47" xr10:uidLastSave="{00000000-0000-0000-0000-000000000000}"/>
  <bookViews>
    <workbookView xWindow="0" yWindow="660" windowWidth="29400" windowHeight="18460" xr2:uid="{25A345FE-18F0-8F4B-82AB-BB34E0347378}"/>
  </bookViews>
  <sheets>
    <sheet name="周東いる班" sheetId="7" r:id="rId1"/>
    <sheet name="周東いない班" sheetId="8" r:id="rId2"/>
    <sheet name="コピーもと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7" l="1"/>
  <c r="Q18" i="7"/>
  <c r="P18" i="7"/>
  <c r="T18" i="7" s="1"/>
  <c r="S17" i="7"/>
  <c r="Q17" i="7"/>
  <c r="P17" i="7"/>
  <c r="T17" i="7" s="1"/>
  <c r="S16" i="7"/>
  <c r="Q16" i="7"/>
  <c r="P16" i="7"/>
  <c r="T16" i="7" s="1"/>
  <c r="S15" i="7"/>
  <c r="Q15" i="7"/>
  <c r="P15" i="7"/>
  <c r="T15" i="7" s="1"/>
  <c r="S14" i="7"/>
  <c r="Q14" i="7"/>
  <c r="P14" i="7"/>
  <c r="T14" i="7" s="1"/>
  <c r="S13" i="7"/>
  <c r="Q13" i="7"/>
  <c r="P13" i="7"/>
  <c r="T13" i="7" s="1"/>
  <c r="V18" i="7"/>
  <c r="V17" i="7"/>
  <c r="V16" i="7"/>
  <c r="V15" i="7"/>
  <c r="V14" i="7"/>
  <c r="V13" i="7"/>
  <c r="H17" i="7"/>
  <c r="J17" i="7" s="1"/>
  <c r="H16" i="7"/>
  <c r="J16" i="7" s="1"/>
  <c r="H15" i="7"/>
  <c r="J15" i="7" s="1"/>
  <c r="H14" i="7"/>
  <c r="J14" i="7" s="1"/>
  <c r="H13" i="7"/>
  <c r="J13" i="7" s="1"/>
  <c r="T8" i="7"/>
  <c r="T7" i="7"/>
  <c r="T6" i="7"/>
  <c r="T5" i="7"/>
  <c r="T4" i="7"/>
  <c r="J4" i="7"/>
  <c r="AP6" i="8"/>
  <c r="AP7" i="8"/>
  <c r="AP8" i="8"/>
  <c r="AP9" i="8"/>
  <c r="AP10" i="8"/>
  <c r="AP5" i="8"/>
  <c r="AO6" i="8"/>
  <c r="AO7" i="8"/>
  <c r="AO8" i="8"/>
  <c r="AO9" i="8"/>
  <c r="AO10" i="8"/>
  <c r="AO5" i="8"/>
  <c r="AN7" i="8"/>
  <c r="AN8" i="8"/>
  <c r="AN9" i="8"/>
  <c r="AN10" i="8"/>
  <c r="AN6" i="8"/>
  <c r="AP6" i="7"/>
  <c r="AP7" i="7"/>
  <c r="AP8" i="7"/>
  <c r="AP9" i="7"/>
  <c r="AP10" i="7"/>
  <c r="AP5" i="7"/>
  <c r="AO10" i="7"/>
  <c r="AO6" i="7"/>
  <c r="AO7" i="7"/>
  <c r="AO8" i="7"/>
  <c r="AO9" i="7"/>
  <c r="AO5" i="7"/>
  <c r="AN7" i="7"/>
  <c r="AN8" i="7"/>
  <c r="AN9" i="7"/>
  <c r="AN10" i="7"/>
  <c r="AN6" i="7"/>
  <c r="AL7" i="7"/>
  <c r="AM7" i="7" s="1"/>
  <c r="AL6" i="7"/>
  <c r="AM6" i="7" s="1"/>
  <c r="AL8" i="7"/>
  <c r="AM8" i="7" s="1"/>
  <c r="AL9" i="7"/>
  <c r="AM9" i="7" s="1"/>
  <c r="AL10" i="7"/>
  <c r="AM10" i="7" s="1"/>
  <c r="AL5" i="7"/>
  <c r="AL10" i="8"/>
  <c r="AM10" i="8" s="1"/>
  <c r="AL9" i="8"/>
  <c r="AM9" i="8" s="1"/>
  <c r="AL8" i="8"/>
  <c r="AM8" i="8" s="1"/>
  <c r="AL7" i="8"/>
  <c r="AM7" i="8" s="1"/>
  <c r="AL6" i="8"/>
  <c r="AM6" i="8" s="1"/>
  <c r="AL5" i="8"/>
  <c r="AA9" i="7"/>
  <c r="Z9" i="7"/>
  <c r="X9" i="7"/>
  <c r="W9" i="7"/>
  <c r="Z8" i="7"/>
  <c r="X8" i="7"/>
  <c r="W8" i="7"/>
  <c r="AA8" i="7" s="1"/>
  <c r="AA7" i="7"/>
  <c r="Z7" i="7"/>
  <c r="X7" i="7"/>
  <c r="W7" i="7"/>
  <c r="Z6" i="7"/>
  <c r="X6" i="7"/>
  <c r="W6" i="7"/>
  <c r="AA6" i="7" s="1"/>
  <c r="AA5" i="7"/>
  <c r="Z5" i="7"/>
  <c r="X5" i="7"/>
  <c r="W5" i="7"/>
  <c r="Z4" i="7"/>
  <c r="X4" i="7"/>
  <c r="W4" i="7"/>
  <c r="AA4" i="7" s="1"/>
  <c r="P9" i="7"/>
  <c r="R9" i="7" s="1"/>
  <c r="L17" i="7" s="1"/>
  <c r="R8" i="7"/>
  <c r="L16" i="7" s="1"/>
  <c r="P8" i="7"/>
  <c r="R7" i="7"/>
  <c r="L15" i="7" s="1"/>
  <c r="P7" i="7"/>
  <c r="P6" i="7"/>
  <c r="R6" i="7" s="1"/>
  <c r="L14" i="7" s="1"/>
  <c r="P5" i="7"/>
  <c r="R5" i="7" s="1"/>
  <c r="L13" i="7" s="1"/>
  <c r="J6" i="7"/>
  <c r="J5" i="7"/>
  <c r="C5" i="7"/>
  <c r="D5" i="7" s="1"/>
  <c r="Z9" i="8"/>
  <c r="X9" i="8"/>
  <c r="W9" i="8"/>
  <c r="AA9" i="8" s="1"/>
  <c r="V17" i="8" s="1"/>
  <c r="P9" i="8"/>
  <c r="R9" i="8" s="1"/>
  <c r="O16" i="8" s="1"/>
  <c r="Z8" i="8"/>
  <c r="W8" i="8"/>
  <c r="AA8" i="8" s="1"/>
  <c r="V16" i="8" s="1"/>
  <c r="P8" i="8"/>
  <c r="R8" i="8" s="1"/>
  <c r="O15" i="8" s="1"/>
  <c r="AA7" i="8"/>
  <c r="V15" i="8" s="1"/>
  <c r="Z7" i="8"/>
  <c r="W7" i="8"/>
  <c r="P7" i="8"/>
  <c r="R7" i="8" s="1"/>
  <c r="O14" i="8" s="1"/>
  <c r="Z6" i="8"/>
  <c r="X6" i="8"/>
  <c r="W6" i="8"/>
  <c r="AA6" i="8" s="1"/>
  <c r="V14" i="8" s="1"/>
  <c r="P6" i="8"/>
  <c r="R6" i="8" s="1"/>
  <c r="O13" i="8" s="1"/>
  <c r="J6" i="8"/>
  <c r="Z5" i="8"/>
  <c r="X5" i="8"/>
  <c r="W5" i="8"/>
  <c r="AA5" i="8" s="1"/>
  <c r="V13" i="8" s="1"/>
  <c r="P5" i="8"/>
  <c r="R5" i="8" s="1"/>
  <c r="O12" i="8" s="1"/>
  <c r="J5" i="8"/>
  <c r="C5" i="8"/>
  <c r="X7" i="8" s="1"/>
  <c r="Z4" i="8"/>
  <c r="X4" i="8"/>
  <c r="W4" i="8"/>
  <c r="AA4" i="8" s="1"/>
  <c r="V12" i="8" s="1"/>
  <c r="J4" i="8"/>
  <c r="J4" i="4"/>
  <c r="Z9" i="4"/>
  <c r="W9" i="4"/>
  <c r="AA9" i="4" s="1"/>
  <c r="V17" i="4" s="1"/>
  <c r="P9" i="4"/>
  <c r="R9" i="4" s="1"/>
  <c r="O16" i="4" s="1"/>
  <c r="Z8" i="4"/>
  <c r="W8" i="4"/>
  <c r="AA8" i="4" s="1"/>
  <c r="V16" i="4" s="1"/>
  <c r="P8" i="4"/>
  <c r="R8" i="4" s="1"/>
  <c r="O15" i="4" s="1"/>
  <c r="Z7" i="4"/>
  <c r="W7" i="4"/>
  <c r="AA7" i="4" s="1"/>
  <c r="V15" i="4" s="1"/>
  <c r="P7" i="4"/>
  <c r="R7" i="4" s="1"/>
  <c r="O14" i="4" s="1"/>
  <c r="Z6" i="4"/>
  <c r="W6" i="4"/>
  <c r="AA6" i="4" s="1"/>
  <c r="V14" i="4" s="1"/>
  <c r="P6" i="4"/>
  <c r="R6" i="4" s="1"/>
  <c r="O13" i="4" s="1"/>
  <c r="J6" i="4"/>
  <c r="Z5" i="4"/>
  <c r="W5" i="4"/>
  <c r="AA5" i="4" s="1"/>
  <c r="V13" i="4" s="1"/>
  <c r="P5" i="4"/>
  <c r="R5" i="4" s="1"/>
  <c r="O12" i="4" s="1"/>
  <c r="J5" i="4"/>
  <c r="C5" i="4"/>
  <c r="X8" i="4" s="1"/>
  <c r="Z4" i="4"/>
  <c r="W4" i="4"/>
  <c r="AA4" i="4" s="1"/>
  <c r="V12" i="4" s="1"/>
  <c r="D5" i="8" l="1"/>
  <c r="X8" i="8"/>
  <c r="X4" i="4"/>
  <c r="D5" i="4"/>
  <c r="X6" i="4"/>
  <c r="X7" i="4"/>
  <c r="X5" i="4"/>
  <c r="X9" i="4"/>
</calcChain>
</file>

<file path=xl/sharedStrings.xml><?xml version="1.0" encoding="utf-8"?>
<sst xmlns="http://schemas.openxmlformats.org/spreadsheetml/2006/main" count="222" uniqueCount="68">
  <si>
    <t>実験A</t>
    <rPh sb="0" eb="2">
      <t>ジッケn</t>
    </rPh>
    <phoneticPr fontId="1"/>
  </si>
  <si>
    <t>4.2 極性試験</t>
    <rPh sb="4" eb="6">
      <t>キョク</t>
    </rPh>
    <rPh sb="6" eb="8">
      <t>シケn</t>
    </rPh>
    <phoneticPr fontId="1"/>
  </si>
  <si>
    <t>4.3 無負荷試験</t>
    <rPh sb="4" eb="9">
      <t>ムフカ</t>
    </rPh>
    <phoneticPr fontId="1"/>
  </si>
  <si>
    <t>4.4 短絡試験</t>
    <rPh sb="4" eb="6">
      <t>タンラク</t>
    </rPh>
    <rPh sb="6" eb="8">
      <t>シケn</t>
    </rPh>
    <phoneticPr fontId="1"/>
  </si>
  <si>
    <t>4.5 変圧器の並列接続</t>
    <rPh sb="4" eb="7">
      <t>ヘンアテゥ</t>
    </rPh>
    <rPh sb="8" eb="10">
      <t>ヘイレテゥ</t>
    </rPh>
    <rPh sb="10" eb="12">
      <t>セツゾク</t>
    </rPh>
    <phoneticPr fontId="1"/>
  </si>
  <si>
    <t>実験B</t>
    <rPh sb="0" eb="2">
      <t>ジッケn</t>
    </rPh>
    <phoneticPr fontId="1"/>
  </si>
  <si>
    <t>↓室温を調べ忘れたので勝手に追加しちゃいました(12/2 10:42)</t>
    <rPh sb="1" eb="3">
      <t>シツオン</t>
    </rPh>
    <rPh sb="4" eb="5">
      <t>シラ</t>
    </rPh>
    <rPh sb="6" eb="7">
      <t>ワス</t>
    </rPh>
    <rPh sb="11" eb="13">
      <t>カッテ</t>
    </rPh>
    <rPh sb="14" eb="16">
      <t>ツイカ</t>
    </rPh>
    <phoneticPr fontId="1"/>
  </si>
  <si>
    <t>4.1 変圧比</t>
    <rPh sb="4" eb="7">
      <t>ヘンアテゥ</t>
    </rPh>
    <phoneticPr fontId="1"/>
  </si>
  <si>
    <t>室温：</t>
    <rPh sb="0" eb="2">
      <t>シツオn</t>
    </rPh>
    <phoneticPr fontId="1"/>
  </si>
  <si>
    <t>℃</t>
    <phoneticPr fontId="1"/>
  </si>
  <si>
    <r>
      <t>皮相電力=V</t>
    </r>
    <r>
      <rPr>
        <vertAlign val="subscript"/>
        <sz val="10.5"/>
        <color theme="1"/>
        <rFont val="游ゴシック"/>
        <family val="3"/>
        <charset val="128"/>
      </rPr>
      <t>1</t>
    </r>
    <r>
      <rPr>
        <sz val="10.5"/>
        <color theme="1"/>
        <rFont val="游ゴシック"/>
        <family val="2"/>
        <charset val="128"/>
        <scheme val="minor"/>
      </rPr>
      <t>∙I</t>
    </r>
    <r>
      <rPr>
        <vertAlign val="subscript"/>
        <sz val="10.5"/>
        <color theme="1"/>
        <rFont val="游ゴシック"/>
        <family val="3"/>
        <charset val="128"/>
      </rPr>
      <t>0</t>
    </r>
    <rPh sb="0" eb="2">
      <t xml:space="preserve">ヒソウ </t>
    </rPh>
    <rPh sb="2" eb="4">
      <t>デンリョク</t>
    </rPh>
    <phoneticPr fontId="1"/>
  </si>
  <si>
    <r>
      <t>pf=100*W</t>
    </r>
    <r>
      <rPr>
        <vertAlign val="subscript"/>
        <sz val="10.5"/>
        <color theme="1"/>
        <rFont val="游ゴシック"/>
        <family val="3"/>
        <charset val="128"/>
      </rPr>
      <t>n</t>
    </r>
    <r>
      <rPr>
        <sz val="10.5"/>
        <color theme="1"/>
        <rFont val="游ゴシック"/>
        <family val="2"/>
        <charset val="128"/>
        <scheme val="minor"/>
      </rPr>
      <t>/皮相電力</t>
    </r>
    <rPh sb="10" eb="12">
      <t>ヒソウ</t>
    </rPh>
    <rPh sb="12" eb="14">
      <t>デンリョク</t>
    </rPh>
    <phoneticPr fontId="1"/>
  </si>
  <si>
    <t>Δ-Δ結線の測定結果</t>
    <rPh sb="3" eb="5">
      <t>ケッセn</t>
    </rPh>
    <rPh sb="6" eb="10">
      <t>ソクテイ</t>
    </rPh>
    <phoneticPr fontId="1"/>
  </si>
  <si>
    <t>Δ-Y結線の測定結果</t>
    <rPh sb="3" eb="5">
      <t>ケッセn</t>
    </rPh>
    <rPh sb="6" eb="10">
      <t>ソクテイ</t>
    </rPh>
    <phoneticPr fontId="1"/>
  </si>
  <si>
    <t>5-6 油入り変圧器の仕様と測定系</t>
    <rPh sb="4" eb="6">
      <t>アブラ</t>
    </rPh>
    <rPh sb="7" eb="10">
      <t>ヘンアテゥ</t>
    </rPh>
    <rPh sb="11" eb="13">
      <t>シヨウ</t>
    </rPh>
    <rPh sb="14" eb="16">
      <t>ソクテイ</t>
    </rPh>
    <rPh sb="16" eb="17">
      <t xml:space="preserve">ケイ </t>
    </rPh>
    <phoneticPr fontId="1"/>
  </si>
  <si>
    <t>変圧器</t>
    <rPh sb="0" eb="3">
      <t>ヘンアテゥ</t>
    </rPh>
    <phoneticPr fontId="1"/>
  </si>
  <si>
    <r>
      <t>V</t>
    </r>
    <r>
      <rPr>
        <vertAlign val="subscript"/>
        <sz val="10.5"/>
        <color theme="1"/>
        <rFont val="游ゴシック"/>
        <family val="3"/>
        <charset val="128"/>
      </rPr>
      <t>1</t>
    </r>
    <r>
      <rPr>
        <sz val="10.5"/>
        <color theme="1"/>
        <rFont val="游ゴシック"/>
        <family val="2"/>
        <charset val="128"/>
        <scheme val="minor"/>
      </rPr>
      <t>[V]</t>
    </r>
    <phoneticPr fontId="1"/>
  </si>
  <si>
    <r>
      <t>V</t>
    </r>
    <r>
      <rPr>
        <vertAlign val="subscript"/>
        <sz val="10.5"/>
        <color theme="1"/>
        <rFont val="游ゴシック"/>
        <family val="3"/>
        <charset val="128"/>
      </rPr>
      <t>2</t>
    </r>
    <r>
      <rPr>
        <sz val="10.5"/>
        <color theme="1"/>
        <rFont val="游ゴシック"/>
        <family val="2"/>
        <charset val="128"/>
        <scheme val="minor"/>
      </rPr>
      <t>[V]</t>
    </r>
    <phoneticPr fontId="1"/>
  </si>
  <si>
    <r>
      <t>V</t>
    </r>
    <r>
      <rPr>
        <vertAlign val="subscript"/>
        <sz val="10.5"/>
        <color theme="1"/>
        <rFont val="游ゴシック"/>
        <family val="3"/>
        <charset val="128"/>
      </rPr>
      <t>0</t>
    </r>
    <r>
      <rPr>
        <sz val="10.5"/>
        <color theme="1"/>
        <rFont val="游ゴシック"/>
        <family val="2"/>
        <charset val="128"/>
        <scheme val="minor"/>
      </rPr>
      <t>[V]</t>
    </r>
    <phoneticPr fontId="1"/>
  </si>
  <si>
    <t>極性</t>
    <rPh sb="0" eb="2">
      <t>キョクセイ</t>
    </rPh>
    <phoneticPr fontId="1"/>
  </si>
  <si>
    <t>減極性</t>
    <rPh sb="0" eb="3">
      <t>ゲンキョクセイ</t>
    </rPh>
    <phoneticPr fontId="1"/>
  </si>
  <si>
    <r>
      <t>一次電流I</t>
    </r>
    <r>
      <rPr>
        <vertAlign val="subscript"/>
        <sz val="10.5"/>
        <color theme="1"/>
        <rFont val="游ゴシック"/>
        <family val="3"/>
        <charset val="128"/>
      </rPr>
      <t>1</t>
    </r>
    <r>
      <rPr>
        <sz val="10.5"/>
        <color theme="1"/>
        <rFont val="游ゴシック"/>
        <family val="2"/>
        <charset val="128"/>
        <scheme val="minor"/>
      </rPr>
      <t>[A]</t>
    </r>
    <rPh sb="0" eb="4">
      <t>１ゼィ</t>
    </rPh>
    <phoneticPr fontId="1"/>
  </si>
  <si>
    <r>
      <t>一次電圧V</t>
    </r>
    <r>
      <rPr>
        <vertAlign val="subscript"/>
        <sz val="10.5"/>
        <color theme="1"/>
        <rFont val="游ゴシック"/>
        <family val="3"/>
        <charset val="128"/>
      </rPr>
      <t>1</t>
    </r>
    <r>
      <rPr>
        <sz val="10.5"/>
        <color theme="1"/>
        <rFont val="游ゴシック"/>
        <family val="2"/>
        <charset val="128"/>
        <scheme val="minor"/>
      </rPr>
      <t>[V]</t>
    </r>
    <rPh sb="0" eb="3">
      <t>１ゼィ</t>
    </rPh>
    <phoneticPr fontId="1"/>
  </si>
  <si>
    <t>皮相電圧[VA]</t>
    <phoneticPr fontId="1"/>
  </si>
  <si>
    <r>
      <t>二次短絡電流I</t>
    </r>
    <r>
      <rPr>
        <vertAlign val="subscript"/>
        <sz val="10.5"/>
        <color theme="1"/>
        <rFont val="游ゴシック"/>
        <family val="3"/>
        <charset val="128"/>
      </rPr>
      <t>2</t>
    </r>
    <r>
      <rPr>
        <sz val="10.5"/>
        <color theme="1"/>
        <rFont val="游ゴシック"/>
        <family val="2"/>
        <charset val="128"/>
        <scheme val="minor"/>
      </rPr>
      <t>[A]</t>
    </r>
    <rPh sb="0" eb="2">
      <t>ニジゲn</t>
    </rPh>
    <rPh sb="2" eb="4">
      <t>タn</t>
    </rPh>
    <rPh sb="4" eb="6">
      <t>デンリュウ</t>
    </rPh>
    <phoneticPr fontId="1"/>
  </si>
  <si>
    <r>
      <t>負荷損W</t>
    </r>
    <r>
      <rPr>
        <vertAlign val="subscript"/>
        <sz val="10.5"/>
        <color theme="1"/>
        <rFont val="游ゴシック"/>
        <family val="3"/>
        <charset val="128"/>
      </rPr>
      <t>1</t>
    </r>
    <r>
      <rPr>
        <sz val="10.5"/>
        <color theme="1"/>
        <rFont val="游ゴシック"/>
        <family val="2"/>
        <charset val="128"/>
        <scheme val="minor"/>
      </rPr>
      <t>[W]</t>
    </r>
    <rPh sb="0" eb="2">
      <t>フカ</t>
    </rPh>
    <rPh sb="2" eb="3">
      <t xml:space="preserve">ソン </t>
    </rPh>
    <phoneticPr fontId="1"/>
  </si>
  <si>
    <t>インピーダンスZ[Ω]</t>
    <phoneticPr fontId="1"/>
  </si>
  <si>
    <t>力率pf[%]</t>
    <rPh sb="0" eb="2">
      <t>リキ</t>
    </rPh>
    <phoneticPr fontId="1"/>
  </si>
  <si>
    <t>一次側線間電圧[V]</t>
    <rPh sb="0" eb="3">
      <t>イチジガウ</t>
    </rPh>
    <rPh sb="3" eb="4">
      <t xml:space="preserve">セン </t>
    </rPh>
    <rPh sb="5" eb="7">
      <t>デンアテゥ</t>
    </rPh>
    <phoneticPr fontId="1"/>
  </si>
  <si>
    <t>二次側線間電圧[V]</t>
    <rPh sb="0" eb="1">
      <t xml:space="preserve">２ </t>
    </rPh>
    <phoneticPr fontId="1"/>
  </si>
  <si>
    <t>1次電圧[V]</t>
    <rPh sb="1" eb="2">
      <t>ジゲn</t>
    </rPh>
    <rPh sb="2" eb="4">
      <t>デンアテゥ</t>
    </rPh>
    <phoneticPr fontId="1"/>
  </si>
  <si>
    <t>2次電圧</t>
    <rPh sb="1" eb="2">
      <t xml:space="preserve">ジ </t>
    </rPh>
    <rPh sb="2" eb="4">
      <t>デンアテゥ</t>
    </rPh>
    <phoneticPr fontId="1"/>
  </si>
  <si>
    <t>変圧比</t>
    <rPh sb="0" eb="3">
      <t>ヘンアテゥ</t>
    </rPh>
    <phoneticPr fontId="1"/>
  </si>
  <si>
    <t>相対誤差[%]</t>
    <rPh sb="0" eb="4">
      <t>ソウタイ</t>
    </rPh>
    <phoneticPr fontId="1"/>
  </si>
  <si>
    <t>TR1</t>
    <phoneticPr fontId="1"/>
  </si>
  <si>
    <t>加極性</t>
    <rPh sb="0" eb="3">
      <t>カキョクセイ</t>
    </rPh>
    <phoneticPr fontId="1"/>
  </si>
  <si>
    <r>
      <t>一次電圧V</t>
    </r>
    <r>
      <rPr>
        <vertAlign val="subscript"/>
        <sz val="10.5"/>
        <color theme="1"/>
        <rFont val="游ゴシック"/>
        <family val="3"/>
        <charset val="128"/>
      </rPr>
      <t>1</t>
    </r>
    <r>
      <rPr>
        <sz val="10.5"/>
        <color theme="1"/>
        <rFont val="游ゴシック"/>
        <family val="2"/>
        <charset val="128"/>
        <scheme val="minor"/>
      </rPr>
      <t>[V]</t>
    </r>
    <rPh sb="0" eb="4">
      <t>イティ</t>
    </rPh>
    <phoneticPr fontId="1"/>
  </si>
  <si>
    <r>
      <t>一次電流I</t>
    </r>
    <r>
      <rPr>
        <vertAlign val="subscript"/>
        <sz val="10.5"/>
        <color theme="1"/>
        <rFont val="游ゴシック"/>
        <family val="3"/>
        <charset val="128"/>
      </rPr>
      <t>0</t>
    </r>
    <r>
      <rPr>
        <sz val="10.5"/>
        <color theme="1"/>
        <rFont val="游ゴシック"/>
        <family val="2"/>
        <charset val="128"/>
        <scheme val="minor"/>
      </rPr>
      <t>[A]</t>
    </r>
    <rPh sb="0" eb="2">
      <t>🕐</t>
    </rPh>
    <rPh sb="2" eb="4">
      <t>デンリュウ</t>
    </rPh>
    <phoneticPr fontId="1"/>
  </si>
  <si>
    <t>皮相電力[VA]</t>
    <rPh sb="0" eb="2">
      <t>ヒソウ</t>
    </rPh>
    <rPh sb="2" eb="4">
      <t>デンリョク</t>
    </rPh>
    <phoneticPr fontId="1"/>
  </si>
  <si>
    <r>
      <t>無負荷損W</t>
    </r>
    <r>
      <rPr>
        <vertAlign val="subscript"/>
        <sz val="10.5"/>
        <color theme="1"/>
        <rFont val="游ゴシック"/>
        <family val="3"/>
        <charset val="128"/>
      </rPr>
      <t>n</t>
    </r>
    <r>
      <rPr>
        <sz val="10.5"/>
        <color theme="1"/>
        <rFont val="游ゴシック"/>
        <family val="2"/>
        <charset val="128"/>
        <scheme val="minor"/>
      </rPr>
      <t>[W]</t>
    </r>
    <rPh sb="0" eb="3">
      <t>ムフカ</t>
    </rPh>
    <rPh sb="3" eb="4">
      <t xml:space="preserve">ソン </t>
    </rPh>
    <phoneticPr fontId="1"/>
  </si>
  <si>
    <t>力率pf[%]</t>
    <rPh sb="0" eb="1">
      <t>リキ</t>
    </rPh>
    <rPh sb="1" eb="2">
      <t xml:space="preserve">リツ </t>
    </rPh>
    <phoneticPr fontId="1"/>
  </si>
  <si>
    <t>時間t[m]</t>
    <rPh sb="0" eb="2">
      <t>ジカn</t>
    </rPh>
    <phoneticPr fontId="1"/>
  </si>
  <si>
    <t>一次側巻線の直流電流[A]</t>
    <rPh sb="0" eb="3">
      <t>イティ</t>
    </rPh>
    <rPh sb="3" eb="5">
      <t>マキセn</t>
    </rPh>
    <rPh sb="6" eb="8">
      <t>チョク</t>
    </rPh>
    <rPh sb="8" eb="10">
      <t>デンリュウ</t>
    </rPh>
    <phoneticPr fontId="1"/>
  </si>
  <si>
    <t>一次側巻線の直流電圧[V]</t>
    <rPh sb="0" eb="3">
      <t>イティ</t>
    </rPh>
    <rPh sb="3" eb="5">
      <t>マキセn</t>
    </rPh>
    <rPh sb="6" eb="10">
      <t>チョクリュウ</t>
    </rPh>
    <phoneticPr fontId="1"/>
  </si>
  <si>
    <t>巻線抵抗R[Ω]</t>
    <rPh sb="0" eb="2">
      <t>マキセn</t>
    </rPh>
    <rPh sb="2" eb="4">
      <t>テイコウ</t>
    </rPh>
    <phoneticPr fontId="1"/>
  </si>
  <si>
    <t>巻線温度θ[℃]</t>
    <rPh sb="0" eb="2">
      <t>マキセn</t>
    </rPh>
    <rPh sb="2" eb="4">
      <t>オn</t>
    </rPh>
    <phoneticPr fontId="1"/>
  </si>
  <si>
    <t>Rpe[MΩ]</t>
    <phoneticPr fontId="1"/>
  </si>
  <si>
    <t>Rse[MΩ]</t>
    <phoneticPr fontId="1"/>
  </si>
  <si>
    <t>Rps[Ms]</t>
    <phoneticPr fontId="1"/>
  </si>
  <si>
    <t>油温度φ[℃]</t>
    <rPh sb="0" eb="1">
      <t>アブラ</t>
    </rPh>
    <rPh sb="1" eb="3">
      <t>オn</t>
    </rPh>
    <phoneticPr fontId="1"/>
  </si>
  <si>
    <t>交流電圧[V]</t>
    <rPh sb="0" eb="2">
      <t>コウリュウ</t>
    </rPh>
    <rPh sb="2" eb="4">
      <t>デンアテゥ</t>
    </rPh>
    <phoneticPr fontId="1"/>
  </si>
  <si>
    <t>交流電流[A]</t>
    <rPh sb="0" eb="2">
      <t>コウリュウ</t>
    </rPh>
    <rPh sb="2" eb="4">
      <t>デンリュウ</t>
    </rPh>
    <phoneticPr fontId="1"/>
  </si>
  <si>
    <t>TR2</t>
    <phoneticPr fontId="1"/>
  </si>
  <si>
    <t>∞</t>
    <phoneticPr fontId="1"/>
  </si>
  <si>
    <t>TR3</t>
    <phoneticPr fontId="1"/>
  </si>
  <si>
    <t>力率測定値[%]</t>
    <rPh sb="0" eb="2">
      <t>リキ</t>
    </rPh>
    <rPh sb="2" eb="5">
      <t>ソクテイ</t>
    </rPh>
    <phoneticPr fontId="1"/>
  </si>
  <si>
    <r>
      <t>皮相電力=V</t>
    </r>
    <r>
      <rPr>
        <vertAlign val="subscript"/>
        <sz val="10.5"/>
        <color theme="1"/>
        <rFont val="游ゴシック (本文)"/>
        <family val="3"/>
        <charset val="128"/>
      </rPr>
      <t>1</t>
    </r>
    <r>
      <rPr>
        <sz val="10.5"/>
        <color theme="1"/>
        <rFont val="游ゴシック (本文)"/>
        <family val="3"/>
        <charset val="128"/>
      </rPr>
      <t>∙I</t>
    </r>
    <r>
      <rPr>
        <vertAlign val="subscript"/>
        <sz val="10.5"/>
        <color theme="1"/>
        <rFont val="游ゴシック (本文)"/>
        <family val="3"/>
        <charset val="128"/>
      </rPr>
      <t>0</t>
    </r>
    <rPh sb="0" eb="2">
      <t xml:space="preserve">ヒソウ </t>
    </rPh>
    <rPh sb="2" eb="4">
      <t>デンリョク</t>
    </rPh>
    <phoneticPr fontId="1"/>
  </si>
  <si>
    <r>
      <t>pf=100*W</t>
    </r>
    <r>
      <rPr>
        <vertAlign val="subscript"/>
        <sz val="10.5"/>
        <color theme="1"/>
        <rFont val="游ゴシック (本文)"/>
        <family val="3"/>
        <charset val="128"/>
      </rPr>
      <t>n</t>
    </r>
    <r>
      <rPr>
        <sz val="10.5"/>
        <color theme="1"/>
        <rFont val="游ゴシック (本文)"/>
        <family val="3"/>
        <charset val="128"/>
      </rPr>
      <t>/皮相電力</t>
    </r>
    <rPh sb="10" eb="12">
      <t>ヒソウ</t>
    </rPh>
    <rPh sb="12" eb="14">
      <t>デンリョク</t>
    </rPh>
    <phoneticPr fontId="1"/>
  </si>
  <si>
    <r>
      <t>V</t>
    </r>
    <r>
      <rPr>
        <vertAlign val="subscript"/>
        <sz val="10.5"/>
        <color theme="1"/>
        <rFont val="游ゴシック (本文)"/>
        <family val="3"/>
        <charset val="128"/>
      </rPr>
      <t>1</t>
    </r>
    <r>
      <rPr>
        <sz val="10.5"/>
        <color theme="1"/>
        <rFont val="游ゴシック (本文)"/>
        <family val="3"/>
        <charset val="128"/>
      </rPr>
      <t>[V]</t>
    </r>
    <phoneticPr fontId="1"/>
  </si>
  <si>
    <r>
      <t>V</t>
    </r>
    <r>
      <rPr>
        <vertAlign val="subscript"/>
        <sz val="10.5"/>
        <color theme="1"/>
        <rFont val="游ゴシック (本文)"/>
        <family val="3"/>
        <charset val="128"/>
      </rPr>
      <t>2</t>
    </r>
    <r>
      <rPr>
        <sz val="10.5"/>
        <color theme="1"/>
        <rFont val="游ゴシック (本文)"/>
        <family val="3"/>
        <charset val="128"/>
      </rPr>
      <t>[V]</t>
    </r>
    <phoneticPr fontId="1"/>
  </si>
  <si>
    <r>
      <t>V</t>
    </r>
    <r>
      <rPr>
        <vertAlign val="subscript"/>
        <sz val="10.5"/>
        <color theme="1"/>
        <rFont val="游ゴシック (本文)"/>
        <family val="3"/>
        <charset val="128"/>
      </rPr>
      <t>0</t>
    </r>
    <r>
      <rPr>
        <sz val="10.5"/>
        <color theme="1"/>
        <rFont val="游ゴシック (本文)"/>
        <family val="3"/>
        <charset val="128"/>
      </rPr>
      <t>[V]</t>
    </r>
    <phoneticPr fontId="1"/>
  </si>
  <si>
    <r>
      <t>一次電流I</t>
    </r>
    <r>
      <rPr>
        <vertAlign val="subscript"/>
        <sz val="10.5"/>
        <color theme="1"/>
        <rFont val="游ゴシック (本文)"/>
        <family val="3"/>
        <charset val="128"/>
      </rPr>
      <t>1</t>
    </r>
    <r>
      <rPr>
        <sz val="10.5"/>
        <color theme="1"/>
        <rFont val="游ゴシック (本文)"/>
        <family val="3"/>
        <charset val="128"/>
      </rPr>
      <t>[A]</t>
    </r>
    <rPh sb="0" eb="4">
      <t>１ゼィ</t>
    </rPh>
    <phoneticPr fontId="1"/>
  </si>
  <si>
    <r>
      <t>一次電圧V</t>
    </r>
    <r>
      <rPr>
        <vertAlign val="subscript"/>
        <sz val="10.5"/>
        <color theme="1"/>
        <rFont val="游ゴシック (本文)"/>
        <family val="3"/>
        <charset val="128"/>
      </rPr>
      <t>1</t>
    </r>
    <r>
      <rPr>
        <sz val="10.5"/>
        <color theme="1"/>
        <rFont val="游ゴシック (本文)"/>
        <family val="3"/>
        <charset val="128"/>
      </rPr>
      <t>[V]</t>
    </r>
    <rPh sb="0" eb="3">
      <t>１ゼィ</t>
    </rPh>
    <phoneticPr fontId="1"/>
  </si>
  <si>
    <r>
      <t>二次短絡電流I</t>
    </r>
    <r>
      <rPr>
        <vertAlign val="subscript"/>
        <sz val="10.5"/>
        <color theme="1"/>
        <rFont val="游ゴシック (本文)"/>
        <family val="3"/>
        <charset val="128"/>
      </rPr>
      <t>2</t>
    </r>
    <r>
      <rPr>
        <sz val="10.5"/>
        <color theme="1"/>
        <rFont val="游ゴシック (本文)"/>
        <family val="3"/>
        <charset val="128"/>
      </rPr>
      <t>[A]</t>
    </r>
    <rPh sb="0" eb="2">
      <t>ニジゲn</t>
    </rPh>
    <rPh sb="2" eb="4">
      <t>タn</t>
    </rPh>
    <rPh sb="4" eb="6">
      <t>デンリュウ</t>
    </rPh>
    <phoneticPr fontId="1"/>
  </si>
  <si>
    <r>
      <t>負荷損W</t>
    </r>
    <r>
      <rPr>
        <vertAlign val="subscript"/>
        <sz val="10.5"/>
        <color theme="1"/>
        <rFont val="游ゴシック (本文)"/>
        <family val="3"/>
        <charset val="128"/>
      </rPr>
      <t>1</t>
    </r>
    <r>
      <rPr>
        <sz val="10.5"/>
        <color theme="1"/>
        <rFont val="游ゴシック (本文)"/>
        <family val="3"/>
        <charset val="128"/>
      </rPr>
      <t>[W]</t>
    </r>
    <rPh sb="0" eb="2">
      <t>フカ</t>
    </rPh>
    <rPh sb="2" eb="3">
      <t xml:space="preserve">ソン </t>
    </rPh>
    <phoneticPr fontId="1"/>
  </si>
  <si>
    <r>
      <t>一次電圧V</t>
    </r>
    <r>
      <rPr>
        <vertAlign val="subscript"/>
        <sz val="10.5"/>
        <color theme="1"/>
        <rFont val="游ゴシック (本文)"/>
        <family val="3"/>
        <charset val="128"/>
      </rPr>
      <t>1</t>
    </r>
    <r>
      <rPr>
        <sz val="10.5"/>
        <color theme="1"/>
        <rFont val="游ゴシック (本文)"/>
        <family val="3"/>
        <charset val="128"/>
      </rPr>
      <t>[V]</t>
    </r>
    <rPh sb="0" eb="4">
      <t>イティ</t>
    </rPh>
    <phoneticPr fontId="1"/>
  </si>
  <si>
    <r>
      <t>一次電流I</t>
    </r>
    <r>
      <rPr>
        <vertAlign val="subscript"/>
        <sz val="10.5"/>
        <color theme="1"/>
        <rFont val="游ゴシック (本文)"/>
        <family val="3"/>
        <charset val="128"/>
      </rPr>
      <t>0</t>
    </r>
    <r>
      <rPr>
        <sz val="10.5"/>
        <color theme="1"/>
        <rFont val="游ゴシック (本文)"/>
        <family val="3"/>
        <charset val="128"/>
      </rPr>
      <t>[A]</t>
    </r>
    <rPh sb="0" eb="2">
      <t>🕐</t>
    </rPh>
    <rPh sb="2" eb="4">
      <t>デンリュウ</t>
    </rPh>
    <phoneticPr fontId="1"/>
  </si>
  <si>
    <r>
      <t>無負荷損W</t>
    </r>
    <r>
      <rPr>
        <vertAlign val="subscript"/>
        <sz val="10.5"/>
        <color theme="1"/>
        <rFont val="游ゴシック (本文)"/>
        <family val="3"/>
        <charset val="128"/>
      </rPr>
      <t>n</t>
    </r>
    <r>
      <rPr>
        <sz val="10.5"/>
        <color theme="1"/>
        <rFont val="游ゴシック (本文)"/>
        <family val="3"/>
        <charset val="128"/>
      </rPr>
      <t>[W]</t>
    </r>
    <rPh sb="0" eb="3">
      <t>ムフカ</t>
    </rPh>
    <rPh sb="3" eb="4">
      <t xml:space="preserve">ソン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</si>
</sst>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.5"/>
      <color theme="1"/>
      <name val="游ゴシック (本文)"/>
      <family val="3"/>
      <charset val="128"/>
    </font>
    <font>
      <vertAlign val="subscript"/>
      <sz val="10.5"/>
      <color theme="1"/>
      <name val="游ゴシック (本文)"/>
      <family val="3"/>
      <charset val="128"/>
    </font>
    <font>
      <sz val="10.5"/>
      <color theme="1"/>
      <name val="游ゴシック"/>
      <family val="2"/>
      <charset val="128"/>
      <scheme val="minor"/>
    </font>
    <font>
      <vertAlign val="subscript"/>
      <sz val="10.5"/>
      <color theme="1"/>
      <name val="游ゴシック"/>
      <family val="3"/>
      <charset val="128"/>
    </font>
    <font>
      <sz val="10.5"/>
      <color theme="1"/>
      <name val="Cambria Math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56" fontId="2" fillId="0" borderId="0" xfId="0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56" fontId="4" fillId="2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76187203469475"/>
          <c:y val="0.28891745128820612"/>
          <c:w val="0.71182486943809331"/>
          <c:h val="0.51112818910199898"/>
        </c:manualLayout>
      </c:layout>
      <c:scatterChart>
        <c:scatterStyle val="lineMarker"/>
        <c:varyColors val="0"/>
        <c:ser>
          <c:idx val="0"/>
          <c:order val="0"/>
          <c:tx>
            <c:strRef>
              <c:f>周東いる班!$Q$4</c:f>
              <c:strCache>
                <c:ptCount val="1"/>
                <c:pt idx="0">
                  <c:v>無負荷損Wn[W]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1.6446711577265849E-2"/>
                  <c:y val="0.136725124141557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周東いる班!$N$5:$N$9</c:f>
              <c:numCache>
                <c:formatCode>General</c:formatCode>
                <c:ptCount val="5"/>
                <c:pt idx="0">
                  <c:v>20.18</c:v>
                </c:pt>
                <c:pt idx="1">
                  <c:v>40.340000000000003</c:v>
                </c:pt>
                <c:pt idx="2">
                  <c:v>60.22</c:v>
                </c:pt>
                <c:pt idx="3">
                  <c:v>80.099999999999994</c:v>
                </c:pt>
                <c:pt idx="4">
                  <c:v>100.88</c:v>
                </c:pt>
              </c:numCache>
            </c:numRef>
          </c:xVal>
          <c:yVal>
            <c:numRef>
              <c:f>周東いる班!$Q$5:$Q$9</c:f>
              <c:numCache>
                <c:formatCode>General</c:formatCode>
                <c:ptCount val="5"/>
                <c:pt idx="0">
                  <c:v>2.2000000000000002</c:v>
                </c:pt>
                <c:pt idx="1">
                  <c:v>7.66</c:v>
                </c:pt>
                <c:pt idx="2">
                  <c:v>15.51</c:v>
                </c:pt>
                <c:pt idx="3">
                  <c:v>25.73</c:v>
                </c:pt>
                <c:pt idx="4">
                  <c:v>39.369999999999997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8D-354B-96A9-5E0074E39028}"/>
            </c:ext>
          </c:extLst>
        </c:ser>
        <c:ser>
          <c:idx val="2"/>
          <c:order val="2"/>
          <c:tx>
            <c:strRef>
              <c:f>周東いる班!$R$4</c:f>
              <c:strCache>
                <c:ptCount val="1"/>
                <c:pt idx="0">
                  <c:v>力率pf[%]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3680982854915827"/>
                  <c:y val="-0.288162722988367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周東いる班!$N$5:$N$9</c:f>
              <c:numCache>
                <c:formatCode>General</c:formatCode>
                <c:ptCount val="5"/>
                <c:pt idx="0">
                  <c:v>20.18</c:v>
                </c:pt>
                <c:pt idx="1">
                  <c:v>40.340000000000003</c:v>
                </c:pt>
                <c:pt idx="2">
                  <c:v>60.22</c:v>
                </c:pt>
                <c:pt idx="3">
                  <c:v>80.099999999999994</c:v>
                </c:pt>
                <c:pt idx="4">
                  <c:v>100.88</c:v>
                </c:pt>
              </c:numCache>
            </c:numRef>
          </c:xVal>
          <c:yVal>
            <c:numRef>
              <c:f>周東いる班!$R$5:$R$9</c:f>
              <c:numCache>
                <c:formatCode>General</c:formatCode>
                <c:ptCount val="5"/>
                <c:pt idx="0">
                  <c:v>61.697131027318939</c:v>
                </c:pt>
                <c:pt idx="1">
                  <c:v>72.5863796870333</c:v>
                </c:pt>
                <c:pt idx="2">
                  <c:v>71.662668157767655</c:v>
                </c:pt>
                <c:pt idx="3">
                  <c:v>57.993043990191907</c:v>
                </c:pt>
                <c:pt idx="4">
                  <c:v>34.582690489399965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8D-354B-96A9-5E0074E39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494464"/>
        <c:axId val="1029103488"/>
      </c:scatterChart>
      <c:scatterChart>
        <c:scatterStyle val="lineMarker"/>
        <c:varyColors val="0"/>
        <c:ser>
          <c:idx val="1"/>
          <c:order val="1"/>
          <c:tx>
            <c:strRef>
              <c:f>周東いる班!$P$4</c:f>
              <c:strCache>
                <c:ptCount val="1"/>
                <c:pt idx="0">
                  <c:v>皮相電力[VA]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364450650888403"/>
                  <c:y val="-8.68998892435156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周東いる班!$N$5:$N$9</c:f>
              <c:numCache>
                <c:formatCode>General</c:formatCode>
                <c:ptCount val="5"/>
                <c:pt idx="0">
                  <c:v>20.18</c:v>
                </c:pt>
                <c:pt idx="1">
                  <c:v>40.340000000000003</c:v>
                </c:pt>
                <c:pt idx="2">
                  <c:v>60.22</c:v>
                </c:pt>
                <c:pt idx="3">
                  <c:v>80.099999999999994</c:v>
                </c:pt>
                <c:pt idx="4">
                  <c:v>100.88</c:v>
                </c:pt>
              </c:numCache>
            </c:numRef>
          </c:xVal>
          <c:yVal>
            <c:numRef>
              <c:f>周東いる班!$P$5:$P$9</c:f>
              <c:numCache>
                <c:formatCode>General</c:formatCode>
                <c:ptCount val="5"/>
                <c:pt idx="0">
                  <c:v>3.5658059999999998</c:v>
                </c:pt>
                <c:pt idx="1">
                  <c:v>10.552944</c:v>
                </c:pt>
                <c:pt idx="2">
                  <c:v>21.643068</c:v>
                </c:pt>
                <c:pt idx="3">
                  <c:v>44.367389999999993</c:v>
                </c:pt>
                <c:pt idx="4">
                  <c:v>113.84308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8D-354B-96A9-5E0074E39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183616"/>
        <c:axId val="944002752"/>
      </c:scatterChart>
      <c:valAx>
        <c:axId val="1022494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一次電圧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9103488"/>
        <c:crosses val="autoZero"/>
        <c:crossBetween val="midCat"/>
      </c:valAx>
      <c:valAx>
        <c:axId val="1029103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無負荷損</a:t>
                </a:r>
                <a:r>
                  <a:rPr lang="en-US" altLang="ja-JP"/>
                  <a:t>W</a:t>
                </a:r>
                <a:r>
                  <a:rPr lang="en-US" altLang="ja-JP" baseline="-25000"/>
                  <a:t>n</a:t>
                </a:r>
                <a:r>
                  <a:rPr lang="en-US" altLang="ja-JP"/>
                  <a:t>[W]</a:t>
                </a:r>
                <a:r>
                  <a:rPr lang="ja-JP" altLang="en-US"/>
                  <a:t>∙力率</a:t>
                </a:r>
                <a:r>
                  <a:rPr lang="en-US" altLang="ja-JP"/>
                  <a:t>[%]</a:t>
                </a:r>
                <a:endParaRPr lang="ja-JP" alt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2494464"/>
        <c:crosses val="autoZero"/>
        <c:crossBetween val="midCat"/>
      </c:valAx>
      <c:valAx>
        <c:axId val="944002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皮相電力</a:t>
                </a:r>
                <a:r>
                  <a:rPr lang="en-US" altLang="ja-JP"/>
                  <a:t>[VA]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4183616"/>
        <c:crosses val="max"/>
        <c:crossBetween val="midCat"/>
      </c:valAx>
      <c:valAx>
        <c:axId val="644183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4400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3.0886225847007318E-2"/>
          <c:w val="0.97229811238482311"/>
          <c:h val="0.175667673106177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周東いる班!$Y$3</c:f>
              <c:strCache>
                <c:ptCount val="1"/>
                <c:pt idx="0">
                  <c:v>負荷損W1[W]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1475328819329338"/>
                  <c:y val="8.2776044206137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周東いる班!$V$4:$V$9</c:f>
              <c:numCache>
                <c:formatCode>General</c:formatCode>
                <c:ptCount val="6"/>
                <c:pt idx="0">
                  <c:v>2.9529999999999998</c:v>
                </c:pt>
                <c:pt idx="1">
                  <c:v>3.5579999999999998</c:v>
                </c:pt>
                <c:pt idx="2">
                  <c:v>4.1829999999999998</c:v>
                </c:pt>
                <c:pt idx="3">
                  <c:v>4.7060000000000004</c:v>
                </c:pt>
                <c:pt idx="4">
                  <c:v>5.2450000000000001</c:v>
                </c:pt>
                <c:pt idx="5">
                  <c:v>5.9119999999999999</c:v>
                </c:pt>
              </c:numCache>
            </c:numRef>
          </c:xVal>
          <c:yVal>
            <c:numRef>
              <c:f>周東いる班!$Y$4:$Y$9</c:f>
              <c:numCache>
                <c:formatCode>General</c:formatCode>
                <c:ptCount val="6"/>
                <c:pt idx="0">
                  <c:v>14.18</c:v>
                </c:pt>
                <c:pt idx="1">
                  <c:v>20.57</c:v>
                </c:pt>
                <c:pt idx="2">
                  <c:v>28.42</c:v>
                </c:pt>
                <c:pt idx="3">
                  <c:v>35.94</c:v>
                </c:pt>
                <c:pt idx="4">
                  <c:v>44.61</c:v>
                </c:pt>
                <c:pt idx="5">
                  <c:v>56.62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01-BD4B-B5AC-BBBE37AABC71}"/>
            </c:ext>
          </c:extLst>
        </c:ser>
        <c:ser>
          <c:idx val="1"/>
          <c:order val="1"/>
          <c:tx>
            <c:strRef>
              <c:f>周東いる班!$AA$3</c:f>
              <c:strCache>
                <c:ptCount val="1"/>
                <c:pt idx="0">
                  <c:v>力率pf[%]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周東いる班!$V$4:$V$9</c:f>
              <c:numCache>
                <c:formatCode>General</c:formatCode>
                <c:ptCount val="6"/>
                <c:pt idx="0">
                  <c:v>2.9529999999999998</c:v>
                </c:pt>
                <c:pt idx="1">
                  <c:v>3.5579999999999998</c:v>
                </c:pt>
                <c:pt idx="2">
                  <c:v>4.1829999999999998</c:v>
                </c:pt>
                <c:pt idx="3">
                  <c:v>4.7060000000000004</c:v>
                </c:pt>
                <c:pt idx="4">
                  <c:v>5.2450000000000001</c:v>
                </c:pt>
                <c:pt idx="5">
                  <c:v>5.9119999999999999</c:v>
                </c:pt>
              </c:numCache>
            </c:numRef>
          </c:xVal>
          <c:yVal>
            <c:numRef>
              <c:f>周東いる班!$AA$4:$AA$9</c:f>
              <c:numCache>
                <c:formatCode>General</c:formatCode>
                <c:ptCount val="6"/>
                <c:pt idx="0">
                  <c:v>94.936662249232981</c:v>
                </c:pt>
                <c:pt idx="1">
                  <c:v>94.916070107399591</c:v>
                </c:pt>
                <c:pt idx="2">
                  <c:v>94.930373981916006</c:v>
                </c:pt>
                <c:pt idx="3">
                  <c:v>94.917463006750694</c:v>
                </c:pt>
                <c:pt idx="4">
                  <c:v>94.924588043034177</c:v>
                </c:pt>
                <c:pt idx="5">
                  <c:v>94.935876868134173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01-BD4B-B5AC-BBBE37AABC71}"/>
            </c:ext>
          </c:extLst>
        </c:ser>
        <c:ser>
          <c:idx val="2"/>
          <c:order val="2"/>
          <c:tx>
            <c:strRef>
              <c:f>周東いる班!$W$3</c:f>
              <c:strCache>
                <c:ptCount val="1"/>
                <c:pt idx="0">
                  <c:v>皮相電圧[VA]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445018049309997"/>
                  <c:y val="2.60552708401382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周東いる班!$V$4:$V$9</c:f>
              <c:numCache>
                <c:formatCode>General</c:formatCode>
                <c:ptCount val="6"/>
                <c:pt idx="0">
                  <c:v>2.9529999999999998</c:v>
                </c:pt>
                <c:pt idx="1">
                  <c:v>3.5579999999999998</c:v>
                </c:pt>
                <c:pt idx="2">
                  <c:v>4.1829999999999998</c:v>
                </c:pt>
                <c:pt idx="3">
                  <c:v>4.7060000000000004</c:v>
                </c:pt>
                <c:pt idx="4">
                  <c:v>5.2450000000000001</c:v>
                </c:pt>
                <c:pt idx="5">
                  <c:v>5.9119999999999999</c:v>
                </c:pt>
              </c:numCache>
            </c:numRef>
          </c:xVal>
          <c:yVal>
            <c:numRef>
              <c:f>周東いる班!$W$4:$W$9</c:f>
              <c:numCache>
                <c:formatCode>General</c:formatCode>
                <c:ptCount val="6"/>
                <c:pt idx="0">
                  <c:v>14.936273999999999</c:v>
                </c:pt>
                <c:pt idx="1">
                  <c:v>21.671778</c:v>
                </c:pt>
                <c:pt idx="2">
                  <c:v>29.937730999999999</c:v>
                </c:pt>
                <c:pt idx="3">
                  <c:v>37.864476000000003</c:v>
                </c:pt>
                <c:pt idx="4">
                  <c:v>46.995200000000004</c:v>
                </c:pt>
                <c:pt idx="5">
                  <c:v>59.640255999999994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01-BD4B-B5AC-BBBE37AAB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095424"/>
        <c:axId val="1029099008"/>
      </c:scatterChart>
      <c:valAx>
        <c:axId val="102909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一次電圧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9099008"/>
        <c:crosses val="autoZero"/>
        <c:crossBetween val="midCat"/>
      </c:valAx>
      <c:valAx>
        <c:axId val="1029099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負荷損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</a:t>
                </a:r>
                <a:r>
                  <a:rPr lang="en-US" altLang="ja-JP" sz="8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[Wa]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∙力率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pf[%]</a:t>
                </a:r>
                <a:endParaRPr lang="ja-JP" altLang="en-US" sz="1000" b="0" i="0" u="none" strike="noStrike" kern="1200" baseline="-2500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909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周東いる班!$AM$4</c:f>
              <c:strCache>
                <c:ptCount val="1"/>
                <c:pt idx="0">
                  <c:v>巻線温度θ[℃]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周東いる班!$AI$5:$AI$10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xVal>
          <c:yVal>
            <c:numRef>
              <c:f>周東いる班!$AL$5:$AL$10</c:f>
              <c:numCache>
                <c:formatCode>General</c:formatCode>
                <c:ptCount val="6"/>
                <c:pt idx="0">
                  <c:v>0.18505916666666666</c:v>
                </c:pt>
                <c:pt idx="1">
                  <c:v>0.18912583333333335</c:v>
                </c:pt>
                <c:pt idx="2">
                  <c:v>0.18926833333333334</c:v>
                </c:pt>
                <c:pt idx="3">
                  <c:v>0.19528333333333334</c:v>
                </c:pt>
                <c:pt idx="4">
                  <c:v>0.19192499999999998</c:v>
                </c:pt>
                <c:pt idx="5">
                  <c:v>0.19327916666666667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7-CF41-95FF-EA5370049135}"/>
            </c:ext>
          </c:extLst>
        </c:ser>
        <c:ser>
          <c:idx val="1"/>
          <c:order val="1"/>
          <c:tx>
            <c:strRef>
              <c:f>周東いる班!$AQ$4</c:f>
              <c:strCache>
                <c:ptCount val="1"/>
                <c:pt idx="0">
                  <c:v>油温度φ[℃]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周東いる班!$AI$5:$AI$10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xVal>
          <c:yVal>
            <c:numRef>
              <c:f>周東いる班!$AQ$5:$AQ$10</c:f>
              <c:numCache>
                <c:formatCode>General</c:formatCode>
                <c:ptCount val="6"/>
                <c:pt idx="0">
                  <c:v>21.2</c:v>
                </c:pt>
                <c:pt idx="1">
                  <c:v>21.9</c:v>
                </c:pt>
                <c:pt idx="2">
                  <c:v>23.9</c:v>
                </c:pt>
                <c:pt idx="3">
                  <c:v>25.8</c:v>
                </c:pt>
                <c:pt idx="4">
                  <c:v>27.5</c:v>
                </c:pt>
                <c:pt idx="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D7-CF41-95FF-EA5370049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933696"/>
        <c:axId val="501930112"/>
      </c:scatterChart>
      <c:valAx>
        <c:axId val="50193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</a:t>
                </a:r>
                <a:r>
                  <a:rPr lang="en-US" altLang="ja-JP"/>
                  <a:t>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1930112"/>
        <c:crosses val="autoZero"/>
        <c:crossBetween val="midCat"/>
      </c:valAx>
      <c:valAx>
        <c:axId val="501930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温度</a:t>
                </a:r>
                <a:r>
                  <a:rPr lang="en-US" altLang="ja-JP"/>
                  <a:t>[℃]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193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周東いる班!$AQ$4</c:f>
              <c:strCache>
                <c:ptCount val="1"/>
                <c:pt idx="0">
                  <c:v>油温度φ[℃]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周東いる班!$AM$5:$AM$10</c:f>
              <c:numCache>
                <c:formatCode>General</c:formatCode>
                <c:ptCount val="6"/>
                <c:pt idx="0">
                  <c:v>21</c:v>
                </c:pt>
                <c:pt idx="1">
                  <c:v>26.614600735800764</c:v>
                </c:pt>
                <c:pt idx="2">
                  <c:v>26.811341868141312</c:v>
                </c:pt>
                <c:pt idx="3">
                  <c:v>35.115888612200592</c:v>
                </c:pt>
                <c:pt idx="4">
                  <c:v>30.479240873414312</c:v>
                </c:pt>
                <c:pt idx="5">
                  <c:v>32.348856897118537</c:v>
                </c:pt>
              </c:numCache>
            </c:numRef>
          </c:xVal>
          <c:yVal>
            <c:numRef>
              <c:f>周東いる班!$AQ$5:$AQ$10</c:f>
              <c:numCache>
                <c:formatCode>General</c:formatCode>
                <c:ptCount val="6"/>
                <c:pt idx="0">
                  <c:v>21.2</c:v>
                </c:pt>
                <c:pt idx="1">
                  <c:v>21.9</c:v>
                </c:pt>
                <c:pt idx="2">
                  <c:v>23.9</c:v>
                </c:pt>
                <c:pt idx="3">
                  <c:v>25.8</c:v>
                </c:pt>
                <c:pt idx="4">
                  <c:v>27.5</c:v>
                </c:pt>
                <c:pt idx="5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F-4A48-BB3B-8A218EB9C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998784"/>
        <c:axId val="502531392"/>
      </c:scatterChart>
      <c:valAx>
        <c:axId val="56199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巻線温度</a:t>
                </a:r>
                <a:r>
                  <a:rPr lang="en-US" altLang="ja-JP"/>
                  <a:t>θ[℃]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2531392"/>
        <c:crosses val="autoZero"/>
        <c:crossBetween val="midCat"/>
      </c:valAx>
      <c:valAx>
        <c:axId val="502531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油温度</a:t>
                </a:r>
                <a:r>
                  <a:rPr lang="en-US" altLang="ja-JP"/>
                  <a:t>[℃]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199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周東いる班!$R$5</c:f>
              <c:strCache>
                <c:ptCount val="1"/>
                <c:pt idx="0">
                  <c:v>61.69713103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6150306896041975E-3"/>
                  <c:y val="0.147360828413009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周東いる班!$Q$5:$Q$9</c:f>
              <c:numCache>
                <c:formatCode>General</c:formatCode>
                <c:ptCount val="5"/>
                <c:pt idx="0">
                  <c:v>2.2000000000000002</c:v>
                </c:pt>
                <c:pt idx="1">
                  <c:v>7.66</c:v>
                </c:pt>
                <c:pt idx="2">
                  <c:v>15.51</c:v>
                </c:pt>
                <c:pt idx="3">
                  <c:v>25.73</c:v>
                </c:pt>
                <c:pt idx="4">
                  <c:v>39.369999999999997</c:v>
                </c:pt>
              </c:numCache>
            </c:numRef>
          </c:xVal>
          <c:yVal>
            <c:numRef>
              <c:f>周東いる班!$N$5:$N$9</c:f>
              <c:numCache>
                <c:formatCode>General</c:formatCode>
                <c:ptCount val="5"/>
                <c:pt idx="0">
                  <c:v>20.18</c:v>
                </c:pt>
                <c:pt idx="1">
                  <c:v>40.340000000000003</c:v>
                </c:pt>
                <c:pt idx="2">
                  <c:v>60.22</c:v>
                </c:pt>
                <c:pt idx="3">
                  <c:v>80.099999999999994</c:v>
                </c:pt>
                <c:pt idx="4">
                  <c:v>100.88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1E-A64A-9562-258FC329C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850432"/>
        <c:axId val="575307072"/>
      </c:scatterChart>
      <c:valAx>
        <c:axId val="7418504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無負荷損</a:t>
                </a:r>
                <a:r>
                  <a:rPr lang="en-US" altLang="ja-JP"/>
                  <a:t>W</a:t>
                </a:r>
                <a:r>
                  <a:rPr lang="en-US" altLang="ja-JP" baseline="-25000"/>
                  <a:t>n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5307072"/>
        <c:crosses val="autoZero"/>
        <c:crossBetween val="midCat"/>
      </c:valAx>
      <c:valAx>
        <c:axId val="5753070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一次電圧</a:t>
                </a:r>
                <a:r>
                  <a:rPr lang="en-US" altLang="ja-JP"/>
                  <a:t>V</a:t>
                </a:r>
                <a:r>
                  <a:rPr lang="en-US" altLang="ja-JP" baseline="-25000"/>
                  <a:t>1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185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周東いない班!$Q$4</c:f>
              <c:strCache>
                <c:ptCount val="1"/>
                <c:pt idx="0">
                  <c:v>無負荷損Wn[W]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周東いない班!$N$5:$N$9</c:f>
              <c:numCache>
                <c:formatCode>General</c:formatCode>
                <c:ptCount val="5"/>
                <c:pt idx="0">
                  <c:v>20.010000000000002</c:v>
                </c:pt>
                <c:pt idx="1">
                  <c:v>40.65</c:v>
                </c:pt>
                <c:pt idx="2">
                  <c:v>60.58</c:v>
                </c:pt>
                <c:pt idx="3">
                  <c:v>80.86</c:v>
                </c:pt>
                <c:pt idx="4">
                  <c:v>100.42</c:v>
                </c:pt>
              </c:numCache>
            </c:numRef>
          </c:xVal>
          <c:yVal>
            <c:numRef>
              <c:f>周東いない班!$Q$5:$Q$9</c:f>
              <c:numCache>
                <c:formatCode>General</c:formatCode>
                <c:ptCount val="5"/>
                <c:pt idx="0">
                  <c:v>2.15</c:v>
                </c:pt>
                <c:pt idx="1">
                  <c:v>7.75</c:v>
                </c:pt>
                <c:pt idx="2">
                  <c:v>15.65</c:v>
                </c:pt>
                <c:pt idx="3">
                  <c:v>26.13</c:v>
                </c:pt>
                <c:pt idx="4">
                  <c:v>38.96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28-B142-A5EA-8E93EA2EF33A}"/>
            </c:ext>
          </c:extLst>
        </c:ser>
        <c:ser>
          <c:idx val="2"/>
          <c:order val="2"/>
          <c:tx>
            <c:strRef>
              <c:f>周東いない班!$R$4</c:f>
              <c:strCache>
                <c:ptCount val="1"/>
                <c:pt idx="0">
                  <c:v>力率pf[%]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周東いない班!$N$5:$N$9</c:f>
              <c:numCache>
                <c:formatCode>General</c:formatCode>
                <c:ptCount val="5"/>
                <c:pt idx="0">
                  <c:v>20.010000000000002</c:v>
                </c:pt>
                <c:pt idx="1">
                  <c:v>40.65</c:v>
                </c:pt>
                <c:pt idx="2">
                  <c:v>60.58</c:v>
                </c:pt>
                <c:pt idx="3">
                  <c:v>80.86</c:v>
                </c:pt>
                <c:pt idx="4">
                  <c:v>100.42</c:v>
                </c:pt>
              </c:numCache>
            </c:numRef>
          </c:xVal>
          <c:yVal>
            <c:numRef>
              <c:f>周東いない班!$R$5:$R$9</c:f>
              <c:numCache>
                <c:formatCode>General</c:formatCode>
                <c:ptCount val="5"/>
                <c:pt idx="0">
                  <c:v>61.153259454507236</c:v>
                </c:pt>
                <c:pt idx="1">
                  <c:v>72.629297721548653</c:v>
                </c:pt>
                <c:pt idx="2">
                  <c:v>71.403008434588727</c:v>
                </c:pt>
                <c:pt idx="3">
                  <c:v>56.942929586243039</c:v>
                </c:pt>
                <c:pt idx="4">
                  <c:v>32.564254137992265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28-B142-A5EA-8E93EA2EF33A}"/>
            </c:ext>
          </c:extLst>
        </c:ser>
        <c:ser>
          <c:idx val="1"/>
          <c:order val="1"/>
          <c:tx>
            <c:strRef>
              <c:f>周東いない班!$P$4</c:f>
              <c:strCache>
                <c:ptCount val="1"/>
                <c:pt idx="0">
                  <c:v>皮相電力[VA]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周東いない班!$N$5:$N$9</c:f>
              <c:numCache>
                <c:formatCode>General</c:formatCode>
                <c:ptCount val="5"/>
                <c:pt idx="0">
                  <c:v>20.010000000000002</c:v>
                </c:pt>
                <c:pt idx="1">
                  <c:v>40.65</c:v>
                </c:pt>
                <c:pt idx="2">
                  <c:v>60.58</c:v>
                </c:pt>
                <c:pt idx="3">
                  <c:v>80.86</c:v>
                </c:pt>
                <c:pt idx="4">
                  <c:v>100.42</c:v>
                </c:pt>
              </c:numCache>
            </c:numRef>
          </c:xVal>
          <c:yVal>
            <c:numRef>
              <c:f>周東いない班!$P$5:$P$9</c:f>
              <c:numCache>
                <c:formatCode>General</c:formatCode>
                <c:ptCount val="5"/>
                <c:pt idx="0">
                  <c:v>3.5157570000000002</c:v>
                </c:pt>
                <c:pt idx="1">
                  <c:v>10.670624999999999</c:v>
                </c:pt>
                <c:pt idx="2">
                  <c:v>21.917843999999999</c:v>
                </c:pt>
                <c:pt idx="3">
                  <c:v>45.88805</c:v>
                </c:pt>
                <c:pt idx="4">
                  <c:v>119.640388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28-B142-A5EA-8E93EA2EF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494464"/>
        <c:axId val="1029103488"/>
      </c:scatterChart>
      <c:valAx>
        <c:axId val="1022494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一次電圧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9103488"/>
        <c:crosses val="autoZero"/>
        <c:crossBetween val="midCat"/>
      </c:valAx>
      <c:valAx>
        <c:axId val="1029103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無負荷損</a:t>
                </a:r>
                <a:r>
                  <a:rPr lang="en-US" altLang="ja-JP"/>
                  <a:t>W</a:t>
                </a:r>
                <a:r>
                  <a:rPr lang="en-US" altLang="ja-JP" baseline="-25000"/>
                  <a:t>n</a:t>
                </a:r>
                <a:r>
                  <a:rPr lang="en-US" altLang="ja-JP"/>
                  <a:t>[W]</a:t>
                </a:r>
                <a:r>
                  <a:rPr lang="ja-JP" altLang="en-US"/>
                  <a:t>∙力率</a:t>
                </a:r>
                <a:r>
                  <a:rPr lang="en-US" altLang="ja-JP"/>
                  <a:t>[%]</a:t>
                </a:r>
                <a:endParaRPr lang="ja-JP" alt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249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周東いない班!$Y$3</c:f>
              <c:strCache>
                <c:ptCount val="1"/>
                <c:pt idx="0">
                  <c:v>負荷損W1[W]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周東いない班!$V$4:$V$9</c:f>
              <c:numCache>
                <c:formatCode>General</c:formatCode>
                <c:ptCount val="6"/>
                <c:pt idx="0">
                  <c:v>2.9380000000000002</c:v>
                </c:pt>
                <c:pt idx="1">
                  <c:v>3.4790000000000001</c:v>
                </c:pt>
                <c:pt idx="2">
                  <c:v>4.0739999999999998</c:v>
                </c:pt>
                <c:pt idx="3">
                  <c:v>4.6760000000000002</c:v>
                </c:pt>
                <c:pt idx="4">
                  <c:v>5.2210000000000001</c:v>
                </c:pt>
                <c:pt idx="5">
                  <c:v>5.8339999999999996</c:v>
                </c:pt>
              </c:numCache>
            </c:numRef>
          </c:xVal>
          <c:yVal>
            <c:numRef>
              <c:f>周東いない班!$Y$4:$Y$9</c:f>
              <c:numCache>
                <c:formatCode>General</c:formatCode>
                <c:ptCount val="6"/>
                <c:pt idx="0">
                  <c:v>14.19</c:v>
                </c:pt>
                <c:pt idx="1">
                  <c:v>19.88</c:v>
                </c:pt>
                <c:pt idx="2">
                  <c:v>27.22</c:v>
                </c:pt>
                <c:pt idx="3">
                  <c:v>35.81</c:v>
                </c:pt>
                <c:pt idx="4">
                  <c:v>44.58</c:v>
                </c:pt>
                <c:pt idx="5">
                  <c:v>55.57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7E-FB47-BCB4-3D7B5C1F1B90}"/>
            </c:ext>
          </c:extLst>
        </c:ser>
        <c:ser>
          <c:idx val="1"/>
          <c:order val="1"/>
          <c:tx>
            <c:strRef>
              <c:f>周東いない班!$AA$3</c:f>
              <c:strCache>
                <c:ptCount val="1"/>
                <c:pt idx="0">
                  <c:v>力率pf[%]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周東いない班!$V$4:$V$9</c:f>
              <c:numCache>
                <c:formatCode>General</c:formatCode>
                <c:ptCount val="6"/>
                <c:pt idx="0">
                  <c:v>2.9380000000000002</c:v>
                </c:pt>
                <c:pt idx="1">
                  <c:v>3.4790000000000001</c:v>
                </c:pt>
                <c:pt idx="2">
                  <c:v>4.0739999999999998</c:v>
                </c:pt>
                <c:pt idx="3">
                  <c:v>4.6760000000000002</c:v>
                </c:pt>
                <c:pt idx="4">
                  <c:v>5.2210000000000001</c:v>
                </c:pt>
                <c:pt idx="5">
                  <c:v>5.8339999999999996</c:v>
                </c:pt>
              </c:numCache>
            </c:numRef>
          </c:xVal>
          <c:yVal>
            <c:numRef>
              <c:f>周東いない班!$AA$4:$AA$9</c:f>
              <c:numCache>
                <c:formatCode>General</c:formatCode>
                <c:ptCount val="6"/>
                <c:pt idx="0">
                  <c:v>94.776613059215407</c:v>
                </c:pt>
                <c:pt idx="1">
                  <c:v>94.827177469062633</c:v>
                </c:pt>
                <c:pt idx="2">
                  <c:v>94.825350655228533</c:v>
                </c:pt>
                <c:pt idx="3">
                  <c:v>94.827326878825659</c:v>
                </c:pt>
                <c:pt idx="4">
                  <c:v>94.852189947276386</c:v>
                </c:pt>
                <c:pt idx="5">
                  <c:v>94.872481278178356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7E-FB47-BCB4-3D7B5C1F1B90}"/>
            </c:ext>
          </c:extLst>
        </c:ser>
        <c:ser>
          <c:idx val="2"/>
          <c:order val="2"/>
          <c:tx>
            <c:strRef>
              <c:f>周東いない班!$W$3</c:f>
              <c:strCache>
                <c:ptCount val="1"/>
                <c:pt idx="0">
                  <c:v>皮相電圧[VA]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周東いない班!$V$4:$V$9</c:f>
              <c:numCache>
                <c:formatCode>General</c:formatCode>
                <c:ptCount val="6"/>
                <c:pt idx="0">
                  <c:v>2.9380000000000002</c:v>
                </c:pt>
                <c:pt idx="1">
                  <c:v>3.4790000000000001</c:v>
                </c:pt>
                <c:pt idx="2">
                  <c:v>4.0739999999999998</c:v>
                </c:pt>
                <c:pt idx="3">
                  <c:v>4.6760000000000002</c:v>
                </c:pt>
                <c:pt idx="4">
                  <c:v>5.2210000000000001</c:v>
                </c:pt>
                <c:pt idx="5">
                  <c:v>5.8339999999999996</c:v>
                </c:pt>
              </c:numCache>
            </c:numRef>
          </c:xVal>
          <c:yVal>
            <c:numRef>
              <c:f>周東いない班!$W$4:$W$9</c:f>
              <c:numCache>
                <c:formatCode>General</c:formatCode>
                <c:ptCount val="6"/>
                <c:pt idx="0">
                  <c:v>14.972048000000001</c:v>
                </c:pt>
                <c:pt idx="1">
                  <c:v>20.964454</c:v>
                </c:pt>
                <c:pt idx="2">
                  <c:v>28.705404000000001</c:v>
                </c:pt>
                <c:pt idx="3">
                  <c:v>37.763376000000001</c:v>
                </c:pt>
                <c:pt idx="4">
                  <c:v>46.999442000000002</c:v>
                </c:pt>
                <c:pt idx="5">
                  <c:v>58.573359999999994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7E-FB47-BCB4-3D7B5C1F1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095424"/>
        <c:axId val="1029099008"/>
      </c:scatterChart>
      <c:valAx>
        <c:axId val="102909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一次電圧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9099008"/>
        <c:crosses val="autoZero"/>
        <c:crossBetween val="midCat"/>
      </c:valAx>
      <c:valAx>
        <c:axId val="1029099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負荷損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</a:t>
                </a:r>
                <a:r>
                  <a:rPr lang="en-US" altLang="ja-JP" sz="8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[Wa]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∙力率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pf[%]</a:t>
                </a:r>
                <a:endParaRPr lang="ja-JP" altLang="en-US" sz="1000" b="0" i="0" u="none" strike="noStrike" kern="1200" baseline="-2500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909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周東いない班!$AM$4</c:f>
              <c:strCache>
                <c:ptCount val="1"/>
                <c:pt idx="0">
                  <c:v>巻線温度θ[℃]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周東いない班!$AI$5:$AI$10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xVal>
          <c:yVal>
            <c:numRef>
              <c:f>周東いない班!$AL$5:$AL$10</c:f>
              <c:numCache>
                <c:formatCode>General</c:formatCode>
                <c:ptCount val="6"/>
                <c:pt idx="0">
                  <c:v>0.18333333333333335</c:v>
                </c:pt>
                <c:pt idx="1">
                  <c:v>0.18583333333333335</c:v>
                </c:pt>
                <c:pt idx="2">
                  <c:v>0.18666666666666668</c:v>
                </c:pt>
                <c:pt idx="3">
                  <c:v>0.1875</c:v>
                </c:pt>
                <c:pt idx="4">
                  <c:v>0.19</c:v>
                </c:pt>
                <c:pt idx="5">
                  <c:v>0.19083333333333335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F4-3145-BD24-C009FBF4A31B}"/>
            </c:ext>
          </c:extLst>
        </c:ser>
        <c:ser>
          <c:idx val="1"/>
          <c:order val="1"/>
          <c:tx>
            <c:strRef>
              <c:f>周東いない班!$AQ$4</c:f>
              <c:strCache>
                <c:ptCount val="1"/>
                <c:pt idx="0">
                  <c:v>油温度φ[℃]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周東いない班!$AI$5:$AI$10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xVal>
          <c:yVal>
            <c:numRef>
              <c:f>周東いない班!$AQ$5:$AQ$10</c:f>
              <c:numCache>
                <c:formatCode>General</c:formatCode>
                <c:ptCount val="6"/>
                <c:pt idx="0">
                  <c:v>18.8</c:v>
                </c:pt>
                <c:pt idx="1">
                  <c:v>19.8</c:v>
                </c:pt>
                <c:pt idx="2">
                  <c:v>21.8</c:v>
                </c:pt>
                <c:pt idx="3">
                  <c:v>23.9</c:v>
                </c:pt>
                <c:pt idx="4">
                  <c:v>25.8</c:v>
                </c:pt>
                <c:pt idx="5">
                  <c:v>27.4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F4-3145-BD24-C009FBF4A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933696"/>
        <c:axId val="501930112"/>
      </c:scatterChart>
      <c:valAx>
        <c:axId val="50193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</a:t>
                </a:r>
                <a:r>
                  <a:rPr lang="en-US" altLang="ja-JP"/>
                  <a:t>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1930112"/>
        <c:crosses val="autoZero"/>
        <c:crossBetween val="midCat"/>
      </c:valAx>
      <c:valAx>
        <c:axId val="501930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温度</a:t>
                </a:r>
                <a:r>
                  <a:rPr lang="en-US" altLang="ja-JP"/>
                  <a:t>[℃]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193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周東いない班!$AQ$4</c:f>
              <c:strCache>
                <c:ptCount val="1"/>
                <c:pt idx="0">
                  <c:v>油温度φ[℃]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周東いない班!$AM$5:$AM$10</c:f>
              <c:numCache>
                <c:formatCode>General</c:formatCode>
                <c:ptCount val="6"/>
                <c:pt idx="0">
                  <c:v>18.5</c:v>
                </c:pt>
                <c:pt idx="1">
                  <c:v>21.949999999999989</c:v>
                </c:pt>
                <c:pt idx="2">
                  <c:v>23.099999999999966</c:v>
                </c:pt>
                <c:pt idx="3">
                  <c:v>24.25</c:v>
                </c:pt>
                <c:pt idx="4">
                  <c:v>27.699999999999989</c:v>
                </c:pt>
                <c:pt idx="5">
                  <c:v>28.850000000000023</c:v>
                </c:pt>
              </c:numCache>
            </c:numRef>
          </c:xVal>
          <c:yVal>
            <c:numRef>
              <c:f>周東いない班!$AQ$5:$AQ$10</c:f>
              <c:numCache>
                <c:formatCode>General</c:formatCode>
                <c:ptCount val="6"/>
                <c:pt idx="0">
                  <c:v>18.8</c:v>
                </c:pt>
                <c:pt idx="1">
                  <c:v>19.8</c:v>
                </c:pt>
                <c:pt idx="2">
                  <c:v>21.8</c:v>
                </c:pt>
                <c:pt idx="3">
                  <c:v>23.9</c:v>
                </c:pt>
                <c:pt idx="4">
                  <c:v>25.8</c:v>
                </c:pt>
                <c:pt idx="5">
                  <c:v>27.4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EF-2F4F-A21A-EDE758632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998784"/>
        <c:axId val="502531392"/>
      </c:scatterChart>
      <c:valAx>
        <c:axId val="56199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巻線温度</a:t>
                </a:r>
                <a:r>
                  <a:rPr lang="en-US" altLang="ja-JP"/>
                  <a:t>θ[℃]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2531392"/>
        <c:crosses val="autoZero"/>
        <c:crossBetween val="midCat"/>
      </c:valAx>
      <c:valAx>
        <c:axId val="502531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油温度</a:t>
                </a:r>
                <a:r>
                  <a:rPr lang="en-US" altLang="ja-JP"/>
                  <a:t>[℃]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199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周東いない班!$R$5</c:f>
              <c:strCache>
                <c:ptCount val="1"/>
                <c:pt idx="0">
                  <c:v>61.15325945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871960455856585E-2"/>
                  <c:y val="0.30768157783165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周東いない班!$Q$5:$Q$9</c:f>
              <c:numCache>
                <c:formatCode>General</c:formatCode>
                <c:ptCount val="5"/>
                <c:pt idx="0">
                  <c:v>2.15</c:v>
                </c:pt>
                <c:pt idx="1">
                  <c:v>7.75</c:v>
                </c:pt>
                <c:pt idx="2">
                  <c:v>15.65</c:v>
                </c:pt>
                <c:pt idx="3">
                  <c:v>26.13</c:v>
                </c:pt>
                <c:pt idx="4">
                  <c:v>38.96</c:v>
                </c:pt>
              </c:numCache>
            </c:numRef>
          </c:xVal>
          <c:yVal>
            <c:numRef>
              <c:f>周東いない班!$N$5:$N$9</c:f>
              <c:numCache>
                <c:formatCode>General</c:formatCode>
                <c:ptCount val="5"/>
                <c:pt idx="0">
                  <c:v>20.010000000000002</c:v>
                </c:pt>
                <c:pt idx="1">
                  <c:v>40.65</c:v>
                </c:pt>
                <c:pt idx="2">
                  <c:v>60.58</c:v>
                </c:pt>
                <c:pt idx="3">
                  <c:v>80.86</c:v>
                </c:pt>
                <c:pt idx="4">
                  <c:v>100.42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D4-0548-93F3-F5D5EBD0F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850432"/>
        <c:axId val="575307072"/>
      </c:scatterChart>
      <c:valAx>
        <c:axId val="7418504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無負荷損</a:t>
                </a:r>
                <a:r>
                  <a:rPr lang="en-US" altLang="ja-JP"/>
                  <a:t>W</a:t>
                </a:r>
                <a:r>
                  <a:rPr lang="en-US" altLang="ja-JP" baseline="-25000"/>
                  <a:t>n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5307072"/>
        <c:crosses val="autoZero"/>
        <c:crossBetween val="midCat"/>
      </c:valAx>
      <c:valAx>
        <c:axId val="5753070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一次電圧</a:t>
                </a:r>
                <a:r>
                  <a:rPr lang="en-US" altLang="ja-JP"/>
                  <a:t>V</a:t>
                </a:r>
                <a:r>
                  <a:rPr lang="en-US" altLang="ja-JP" baseline="-25000"/>
                  <a:t>1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185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コピーもと!$Q$4</c:f>
              <c:strCache>
                <c:ptCount val="1"/>
                <c:pt idx="0">
                  <c:v>無負荷損Wn[W]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コピーもと!$N$5:$N$9</c:f>
              <c:numCache>
                <c:formatCode>General</c:formatCode>
                <c:ptCount val="5"/>
              </c:numCache>
            </c:numRef>
          </c:xVal>
          <c:yVal>
            <c:numRef>
              <c:f>コピーもと!$Q$5:$Q$9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F3-7346-80EF-ADE7553E1620}"/>
            </c:ext>
          </c:extLst>
        </c:ser>
        <c:ser>
          <c:idx val="2"/>
          <c:order val="2"/>
          <c:tx>
            <c:strRef>
              <c:f>コピーもと!$R$4</c:f>
              <c:strCache>
                <c:ptCount val="1"/>
                <c:pt idx="0">
                  <c:v>力率pf[%]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コピーもと!$N$5:$N$9</c:f>
              <c:numCache>
                <c:formatCode>General</c:formatCode>
                <c:ptCount val="5"/>
              </c:numCache>
            </c:numRef>
          </c:xVal>
          <c:yVal>
            <c:numRef>
              <c:f>コピーもと!$R$5:$R$9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F3-7346-80EF-ADE7553E1620}"/>
            </c:ext>
          </c:extLst>
        </c:ser>
        <c:ser>
          <c:idx val="1"/>
          <c:order val="1"/>
          <c:tx>
            <c:strRef>
              <c:f>コピーもと!$P$4</c:f>
              <c:strCache>
                <c:ptCount val="1"/>
                <c:pt idx="0">
                  <c:v>皮相電力[VA]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コピーもと!$N$5:$N$9</c:f>
              <c:numCache>
                <c:formatCode>General</c:formatCode>
                <c:ptCount val="5"/>
              </c:numCache>
            </c:numRef>
          </c:xVal>
          <c:yVal>
            <c:numRef>
              <c:f>コピーもと!$P$5:$P$9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F3-7346-80EF-ADE7553E1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494464"/>
        <c:axId val="1029103488"/>
      </c:scatterChart>
      <c:valAx>
        <c:axId val="1022494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一次電圧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9103488"/>
        <c:crosses val="autoZero"/>
        <c:crossBetween val="midCat"/>
      </c:valAx>
      <c:valAx>
        <c:axId val="1029103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無負荷損</a:t>
                </a:r>
                <a:r>
                  <a:rPr lang="en-US" altLang="ja-JP"/>
                  <a:t>W</a:t>
                </a:r>
                <a:r>
                  <a:rPr lang="en-US" altLang="ja-JP" baseline="-25000"/>
                  <a:t>n</a:t>
                </a:r>
                <a:r>
                  <a:rPr lang="en-US" altLang="ja-JP"/>
                  <a:t>[W]</a:t>
                </a:r>
                <a:r>
                  <a:rPr lang="ja-JP" altLang="en-US"/>
                  <a:t>∙力率</a:t>
                </a:r>
                <a:r>
                  <a:rPr lang="en-US" altLang="ja-JP"/>
                  <a:t>[%]</a:t>
                </a:r>
                <a:endParaRPr lang="ja-JP" alt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249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コピーもと!$Y$3</c:f>
              <c:strCache>
                <c:ptCount val="1"/>
                <c:pt idx="0">
                  <c:v>負荷損W1[W]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コピーもと!$V$4:$V$9</c:f>
              <c:numCache>
                <c:formatCode>General</c:formatCode>
                <c:ptCount val="6"/>
              </c:numCache>
            </c:numRef>
          </c:xVal>
          <c:yVal>
            <c:numRef>
              <c:f>コピーもと!$Y$4:$Y$9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D2-E440-BCAC-32BE4EBFE0ED}"/>
            </c:ext>
          </c:extLst>
        </c:ser>
        <c:ser>
          <c:idx val="1"/>
          <c:order val="1"/>
          <c:tx>
            <c:strRef>
              <c:f>コピーもと!$AA$3</c:f>
              <c:strCache>
                <c:ptCount val="1"/>
                <c:pt idx="0">
                  <c:v>力率pf[%]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コピーもと!$V$4:$V$9</c:f>
              <c:numCache>
                <c:formatCode>General</c:formatCode>
                <c:ptCount val="6"/>
              </c:numCache>
            </c:numRef>
          </c:xVal>
          <c:yVal>
            <c:numRef>
              <c:f>コピーもと!$AA$4:$AA$9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D2-E440-BCAC-32BE4EBFE0ED}"/>
            </c:ext>
          </c:extLst>
        </c:ser>
        <c:ser>
          <c:idx val="2"/>
          <c:order val="2"/>
          <c:tx>
            <c:strRef>
              <c:f>コピーもと!$W$3</c:f>
              <c:strCache>
                <c:ptCount val="1"/>
                <c:pt idx="0">
                  <c:v>皮相電圧[VA]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コピーもと!$V$4:$V$9</c:f>
              <c:numCache>
                <c:formatCode>General</c:formatCode>
                <c:ptCount val="6"/>
              </c:numCache>
            </c:numRef>
          </c:xVal>
          <c:yVal>
            <c:numRef>
              <c:f>コピーもと!$W$4:$W$9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D2-E440-BCAC-32BE4EBFE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095424"/>
        <c:axId val="1029099008"/>
      </c:scatterChart>
      <c:valAx>
        <c:axId val="102909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一次電圧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9099008"/>
        <c:crosses val="autoZero"/>
        <c:crossBetween val="midCat"/>
      </c:valAx>
      <c:valAx>
        <c:axId val="1029099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負荷損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</a:t>
                </a:r>
                <a:r>
                  <a:rPr lang="en-US" altLang="ja-JP" sz="8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[Wa]</a:t>
                </a: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∙力率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pf[%]</a:t>
                </a:r>
                <a:endParaRPr lang="ja-JP" altLang="en-US" sz="1000" b="0" i="0" u="none" strike="noStrike" kern="1200" baseline="-2500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9095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コピーもと!$AM$4</c:f>
              <c:strCache>
                <c:ptCount val="1"/>
                <c:pt idx="0">
                  <c:v>巻線温度θ[℃]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コピーもと!$AI$5:$AI$10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xVal>
          <c:yVal>
            <c:numRef>
              <c:f>コピーもと!$AL$5:$AL$10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8E-1746-8CA6-34FEF8D80BC9}"/>
            </c:ext>
          </c:extLst>
        </c:ser>
        <c:ser>
          <c:idx val="1"/>
          <c:order val="1"/>
          <c:tx>
            <c:strRef>
              <c:f>コピーもと!$AQ$4</c:f>
              <c:strCache>
                <c:ptCount val="1"/>
                <c:pt idx="0">
                  <c:v>油温度φ[℃]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コピーもと!$AI$5:$AI$10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xVal>
          <c:yVal>
            <c:numRef>
              <c:f>コピーもと!$AQ$5:$AQ$10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8E-1746-8CA6-34FEF8D80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933696"/>
        <c:axId val="501930112"/>
      </c:scatterChart>
      <c:valAx>
        <c:axId val="50193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</a:t>
                </a:r>
                <a:r>
                  <a:rPr lang="en-US" altLang="ja-JP"/>
                  <a:t>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1930112"/>
        <c:crosses val="autoZero"/>
        <c:crossBetween val="midCat"/>
      </c:valAx>
      <c:valAx>
        <c:axId val="5019301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温度</a:t>
                </a:r>
                <a:r>
                  <a:rPr lang="en-US" altLang="ja-JP"/>
                  <a:t>[℃]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193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コピーもと!$AQ$4</c:f>
              <c:strCache>
                <c:ptCount val="1"/>
                <c:pt idx="0">
                  <c:v>油温度φ[℃]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コピーもと!$AM$5:$AM$10</c:f>
              <c:numCache>
                <c:formatCode>General</c:formatCode>
                <c:ptCount val="6"/>
              </c:numCache>
            </c:numRef>
          </c:xVal>
          <c:yVal>
            <c:numRef>
              <c:f>コピーもと!$AQ$5:$AQ$10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80-834A-AE9D-C07E4D124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998784"/>
        <c:axId val="502531392"/>
      </c:scatterChart>
      <c:valAx>
        <c:axId val="56199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巻線温度</a:t>
                </a:r>
                <a:r>
                  <a:rPr lang="en-US" altLang="ja-JP"/>
                  <a:t>θ[℃]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2531392"/>
        <c:crosses val="autoZero"/>
        <c:crossBetween val="midCat"/>
      </c:valAx>
      <c:valAx>
        <c:axId val="502531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油温度</a:t>
                </a:r>
                <a:r>
                  <a:rPr lang="en-US" altLang="ja-JP"/>
                  <a:t>[℃]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199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コピーもと!$R$5</c:f>
              <c:strCache>
                <c:ptCount val="1"/>
                <c:pt idx="0">
                  <c:v>#DIV/0!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871960455856585E-2"/>
                  <c:y val="0.30768157783165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コピーもと!$Q$5:$Q$9</c:f>
              <c:numCache>
                <c:formatCode>General</c:formatCode>
                <c:ptCount val="5"/>
              </c:numCache>
            </c:numRef>
          </c:xVal>
          <c:yVal>
            <c:numRef>
              <c:f>コピーもと!$N$5:$N$9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3-CD44-925F-3689C9025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850432"/>
        <c:axId val="575307072"/>
      </c:scatterChart>
      <c:valAx>
        <c:axId val="74185043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無負荷損</a:t>
                </a:r>
                <a:r>
                  <a:rPr lang="en-US" altLang="ja-JP"/>
                  <a:t>W</a:t>
                </a:r>
                <a:r>
                  <a:rPr lang="en-US" altLang="ja-JP" baseline="-25000"/>
                  <a:t>n</a:t>
                </a:r>
                <a:r>
                  <a:rPr lang="en-US" altLang="ja-JP"/>
                  <a:t>[W]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5307072"/>
        <c:crosses val="autoZero"/>
        <c:crossBetween val="midCat"/>
      </c:valAx>
      <c:valAx>
        <c:axId val="5753070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一次電圧</a:t>
                </a:r>
                <a:r>
                  <a:rPr lang="en-US" altLang="ja-JP"/>
                  <a:t>V</a:t>
                </a:r>
                <a:r>
                  <a:rPr lang="en-US" altLang="ja-JP" baseline="-25000"/>
                  <a:t>1</a:t>
                </a:r>
                <a:r>
                  <a:rPr lang="en-US" altLang="ja-JP"/>
                  <a:t>[V]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185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268953</xdr:colOff>
      <xdr:row>30</xdr:row>
      <xdr:rowOff>45884</xdr:rowOff>
    </xdr:from>
    <xdr:to>
      <xdr:col>19</xdr:col>
      <xdr:colOff>649953</xdr:colOff>
      <xdr:row>41</xdr:row>
      <xdr:rowOff>85213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7ACC260-0240-8A49-8EED-CA658E852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7927</xdr:colOff>
      <xdr:row>9</xdr:row>
      <xdr:rowOff>231843</xdr:rowOff>
    </xdr:from>
    <xdr:to>
      <xdr:col>26</xdr:col>
      <xdr:colOff>403879</xdr:colOff>
      <xdr:row>20</xdr:row>
      <xdr:rowOff>181044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B1EBA80-B095-C847-A1F1-EB1D6F48B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36905</xdr:colOff>
      <xdr:row>11</xdr:row>
      <xdr:rowOff>5740</xdr:rowOff>
    </xdr:from>
    <xdr:to>
      <xdr:col>36</xdr:col>
      <xdr:colOff>1616626</xdr:colOff>
      <xdr:row>21</xdr:row>
      <xdr:rowOff>239092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EC1262C-9CC8-F147-83E9-6832B9078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32781</xdr:colOff>
      <xdr:row>10</xdr:row>
      <xdr:rowOff>234895</xdr:rowOff>
    </xdr:from>
    <xdr:to>
      <xdr:col>42</xdr:col>
      <xdr:colOff>513210</xdr:colOff>
      <xdr:row>21</xdr:row>
      <xdr:rowOff>231856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0F3C48E-4D7F-334E-8B6A-03F60AB07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123354</xdr:colOff>
      <xdr:row>43</xdr:row>
      <xdr:rowOff>19710</xdr:rowOff>
    </xdr:from>
    <xdr:to>
      <xdr:col>19</xdr:col>
      <xdr:colOff>496772</xdr:colOff>
      <xdr:row>53</xdr:row>
      <xdr:rowOff>185669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3719F7E-7C51-FE4D-A419-C3ECD54B52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146050</xdr:colOff>
      <xdr:row>10</xdr:row>
      <xdr:rowOff>25400</xdr:rowOff>
    </xdr:from>
    <xdr:to>
      <xdr:col>19</xdr:col>
      <xdr:colOff>527050</xdr:colOff>
      <xdr:row>20</xdr:row>
      <xdr:rowOff>228600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D85186D-0CB3-8340-9BD7-15CC7AD4D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922326</xdr:colOff>
      <xdr:row>9</xdr:row>
      <xdr:rowOff>206443</xdr:rowOff>
    </xdr:from>
    <xdr:to>
      <xdr:col>26</xdr:col>
      <xdr:colOff>226078</xdr:colOff>
      <xdr:row>20</xdr:row>
      <xdr:rowOff>155644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CD30304-4CB4-3447-B164-BFF97D312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36905</xdr:colOff>
      <xdr:row>11</xdr:row>
      <xdr:rowOff>5740</xdr:rowOff>
    </xdr:from>
    <xdr:to>
      <xdr:col>36</xdr:col>
      <xdr:colOff>1616626</xdr:colOff>
      <xdr:row>21</xdr:row>
      <xdr:rowOff>239092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48CB2AB-3683-024F-B749-FDEAAD6D9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32781</xdr:colOff>
      <xdr:row>10</xdr:row>
      <xdr:rowOff>234895</xdr:rowOff>
    </xdr:from>
    <xdr:to>
      <xdr:col>42</xdr:col>
      <xdr:colOff>513210</xdr:colOff>
      <xdr:row>21</xdr:row>
      <xdr:rowOff>231856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F9F5F33-5998-CA49-8D83-2C3236B08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78663</xdr:colOff>
      <xdr:row>22</xdr:row>
      <xdr:rowOff>54781</xdr:rowOff>
    </xdr:from>
    <xdr:to>
      <xdr:col>19</xdr:col>
      <xdr:colOff>452081</xdr:colOff>
      <xdr:row>32</xdr:row>
      <xdr:rowOff>239026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39F1413-8B3B-964A-A1C7-E9473B598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146050</xdr:colOff>
      <xdr:row>10</xdr:row>
      <xdr:rowOff>25400</xdr:rowOff>
    </xdr:from>
    <xdr:to>
      <xdr:col>19</xdr:col>
      <xdr:colOff>527050</xdr:colOff>
      <xdr:row>20</xdr:row>
      <xdr:rowOff>228600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890B84C-9691-C240-B29C-0AFE9DC0F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922326</xdr:colOff>
      <xdr:row>9</xdr:row>
      <xdr:rowOff>206443</xdr:rowOff>
    </xdr:from>
    <xdr:to>
      <xdr:col>26</xdr:col>
      <xdr:colOff>226078</xdr:colOff>
      <xdr:row>20</xdr:row>
      <xdr:rowOff>155644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365B1C5-5F09-BB4B-8B90-CD6A5A141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36905</xdr:colOff>
      <xdr:row>11</xdr:row>
      <xdr:rowOff>5740</xdr:rowOff>
    </xdr:from>
    <xdr:to>
      <xdr:col>36</xdr:col>
      <xdr:colOff>1616626</xdr:colOff>
      <xdr:row>21</xdr:row>
      <xdr:rowOff>239092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1897E17-C02B-4F48-B41D-8CC5B1CE9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32781</xdr:colOff>
      <xdr:row>10</xdr:row>
      <xdr:rowOff>234895</xdr:rowOff>
    </xdr:from>
    <xdr:to>
      <xdr:col>42</xdr:col>
      <xdr:colOff>513210</xdr:colOff>
      <xdr:row>21</xdr:row>
      <xdr:rowOff>231856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B16626F-95A0-C34C-9B4F-CE84B56CA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78663</xdr:colOff>
      <xdr:row>22</xdr:row>
      <xdr:rowOff>54781</xdr:rowOff>
    </xdr:from>
    <xdr:to>
      <xdr:col>19</xdr:col>
      <xdr:colOff>452081</xdr:colOff>
      <xdr:row>32</xdr:row>
      <xdr:rowOff>239026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25F46CAA-B1AE-281C-506C-4A66412B2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D9E1-8DF8-E146-A914-DCCA3768AE84}">
  <dimension ref="A1:AS18"/>
  <sheetViews>
    <sheetView tabSelected="1" topLeftCell="A54" zoomScale="62" workbookViewId="0">
      <selection activeCell="E62" sqref="E62"/>
    </sheetView>
  </sheetViews>
  <sheetFormatPr baseColWidth="10" defaultColWidth="10.7109375" defaultRowHeight="18"/>
  <cols>
    <col min="1" max="13" width="10.7109375" style="15"/>
    <col min="14" max="14" width="13.28515625" style="15" bestFit="1" customWidth="1"/>
    <col min="15" max="15" width="12.28515625" style="15" bestFit="1" customWidth="1"/>
    <col min="16" max="16" width="11.7109375" style="15" customWidth="1"/>
    <col min="17" max="17" width="14" style="15" bestFit="1" customWidth="1"/>
    <col min="18" max="20" width="10.7109375" style="15"/>
    <col min="21" max="21" width="12.42578125" style="15" bestFit="1" customWidth="1"/>
    <col min="22" max="22" width="13" style="15" bestFit="1" customWidth="1"/>
    <col min="23" max="23" width="12.28515625" style="15" bestFit="1" customWidth="1"/>
    <col min="24" max="24" width="16.140625" style="15" bestFit="1" customWidth="1"/>
    <col min="25" max="25" width="12.28515625" style="15" bestFit="1" customWidth="1"/>
    <col min="26" max="26" width="18.5703125" style="15" bestFit="1" customWidth="1"/>
    <col min="27" max="29" width="10.7109375" style="15"/>
    <col min="30" max="30" width="19.5703125" style="15" bestFit="1" customWidth="1"/>
    <col min="31" max="33" width="17.140625" style="15" bestFit="1" customWidth="1"/>
    <col min="34" max="35" width="10.7109375" style="15"/>
    <col min="36" max="37" width="23" style="15" bestFit="1" customWidth="1"/>
    <col min="38" max="38" width="13.28515625" style="15" bestFit="1" customWidth="1"/>
    <col min="39" max="39" width="13.85546875" style="15" bestFit="1" customWidth="1"/>
    <col min="40" max="16384" width="10.7109375" style="15"/>
  </cols>
  <sheetData>
    <row r="1" spans="1:45">
      <c r="A1" s="15" t="s">
        <v>0</v>
      </c>
      <c r="F1" s="15" t="s">
        <v>1</v>
      </c>
      <c r="N1" s="15" t="s">
        <v>2</v>
      </c>
      <c r="U1" s="15" t="s">
        <v>3</v>
      </c>
      <c r="AD1" s="15" t="s">
        <v>4</v>
      </c>
      <c r="AI1" s="15" t="s">
        <v>5</v>
      </c>
      <c r="AK1" s="15" t="s">
        <v>6</v>
      </c>
    </row>
    <row r="2" spans="1:45" ht="22">
      <c r="A2" s="16" t="s">
        <v>7</v>
      </c>
      <c r="F2" s="12" t="s">
        <v>8</v>
      </c>
      <c r="G2" s="13">
        <v>27.8</v>
      </c>
      <c r="H2" s="13" t="s">
        <v>9</v>
      </c>
      <c r="I2" s="13"/>
      <c r="J2" s="14"/>
      <c r="N2" s="15" t="s">
        <v>10</v>
      </c>
      <c r="P2" s="15" t="s">
        <v>11</v>
      </c>
      <c r="U2" s="12" t="s">
        <v>8</v>
      </c>
      <c r="V2" s="13">
        <v>24.3</v>
      </c>
      <c r="W2" s="13" t="s">
        <v>9</v>
      </c>
      <c r="X2" s="13"/>
      <c r="Y2" s="13"/>
      <c r="Z2" s="13"/>
      <c r="AA2" s="14"/>
      <c r="AD2" s="19" t="s">
        <v>12</v>
      </c>
      <c r="AE2" s="19"/>
      <c r="AF2" s="19" t="s">
        <v>13</v>
      </c>
      <c r="AG2" s="19"/>
      <c r="AI2" s="15" t="s">
        <v>14</v>
      </c>
    </row>
    <row r="3" spans="1:45" ht="22">
      <c r="A3" s="12" t="s">
        <v>8</v>
      </c>
      <c r="B3" s="13">
        <v>27.2</v>
      </c>
      <c r="C3" s="13" t="s">
        <v>9</v>
      </c>
      <c r="D3" s="14"/>
      <c r="F3" s="17" t="s">
        <v>15</v>
      </c>
      <c r="G3" s="17" t="s">
        <v>16</v>
      </c>
      <c r="H3" s="17" t="s">
        <v>17</v>
      </c>
      <c r="I3" s="17" t="s">
        <v>18</v>
      </c>
      <c r="J3" s="17" t="s">
        <v>19</v>
      </c>
      <c r="L3" s="15" t="s">
        <v>20</v>
      </c>
      <c r="N3" s="12" t="s">
        <v>8</v>
      </c>
      <c r="O3" s="13">
        <v>26.5</v>
      </c>
      <c r="P3" s="13" t="s">
        <v>9</v>
      </c>
      <c r="Q3" s="13"/>
      <c r="R3" s="14"/>
      <c r="S3" s="17" t="s">
        <v>55</v>
      </c>
      <c r="T3" s="17" t="s">
        <v>33</v>
      </c>
      <c r="U3" s="17" t="s">
        <v>21</v>
      </c>
      <c r="V3" s="17" t="s">
        <v>22</v>
      </c>
      <c r="W3" s="17" t="s">
        <v>23</v>
      </c>
      <c r="X3" s="17" t="s">
        <v>24</v>
      </c>
      <c r="Y3" s="17" t="s">
        <v>25</v>
      </c>
      <c r="Z3" s="17" t="s">
        <v>26</v>
      </c>
      <c r="AA3" s="17" t="s">
        <v>27</v>
      </c>
      <c r="AD3" s="17" t="s">
        <v>28</v>
      </c>
      <c r="AE3" s="17" t="s">
        <v>29</v>
      </c>
      <c r="AF3" s="17" t="s">
        <v>28</v>
      </c>
      <c r="AG3" s="17" t="s">
        <v>29</v>
      </c>
      <c r="AI3" s="12" t="s">
        <v>8</v>
      </c>
      <c r="AJ3" s="13">
        <v>24.3</v>
      </c>
      <c r="AK3" s="13" t="s">
        <v>9</v>
      </c>
      <c r="AL3" s="13"/>
      <c r="AM3" s="13"/>
      <c r="AN3" s="13"/>
      <c r="AO3" s="13"/>
      <c r="AP3" s="13"/>
      <c r="AQ3" s="13"/>
      <c r="AR3" s="13"/>
      <c r="AS3" s="14"/>
    </row>
    <row r="4" spans="1:45" ht="22">
      <c r="A4" s="17" t="s">
        <v>30</v>
      </c>
      <c r="B4" s="17" t="s">
        <v>31</v>
      </c>
      <c r="C4" s="17" t="s">
        <v>32</v>
      </c>
      <c r="D4" s="17" t="s">
        <v>33</v>
      </c>
      <c r="F4" s="17" t="s">
        <v>34</v>
      </c>
      <c r="G4" s="17">
        <v>51.021999999999998</v>
      </c>
      <c r="H4" s="17">
        <v>25.91</v>
      </c>
      <c r="I4" s="17">
        <v>25.128599999999999</v>
      </c>
      <c r="J4" s="17" t="str">
        <f>IF(ABS(G4-H4-I4)&gt;ABS(G4+H4-I4),$L$4,$L$3)</f>
        <v>減極性</v>
      </c>
      <c r="L4" s="15" t="s">
        <v>35</v>
      </c>
      <c r="N4" s="17" t="s">
        <v>36</v>
      </c>
      <c r="O4" s="17" t="s">
        <v>37</v>
      </c>
      <c r="P4" s="17" t="s">
        <v>38</v>
      </c>
      <c r="Q4" s="17" t="s">
        <v>39</v>
      </c>
      <c r="R4" s="17" t="s">
        <v>40</v>
      </c>
      <c r="S4" s="17">
        <v>61.54</v>
      </c>
      <c r="T4" s="17" t="e">
        <f>100*ABS((#REF!-S4)/#REF!)</f>
        <v>#REF!</v>
      </c>
      <c r="U4" s="17">
        <v>5.0579999999999998</v>
      </c>
      <c r="V4" s="17">
        <v>2.9529999999999998</v>
      </c>
      <c r="W4" s="17">
        <f>U4*V4</f>
        <v>14.936273999999999</v>
      </c>
      <c r="X4" s="17">
        <f t="shared" ref="X4:X9" si="0">$C$5*U4</f>
        <v>9.9667507561070181</v>
      </c>
      <c r="Y4" s="17">
        <v>14.18</v>
      </c>
      <c r="Z4" s="17">
        <f>V4/U4</f>
        <v>0.58382759984183474</v>
      </c>
      <c r="AA4" s="17">
        <f>100*Y4/W4</f>
        <v>94.936662249232981</v>
      </c>
      <c r="AD4" s="17">
        <v>49.984000000000002</v>
      </c>
      <c r="AE4" s="17">
        <v>24.81</v>
      </c>
      <c r="AF4" s="17">
        <v>50.930999999999997</v>
      </c>
      <c r="AG4" s="17">
        <v>44.57</v>
      </c>
      <c r="AI4" s="17" t="s">
        <v>41</v>
      </c>
      <c r="AJ4" s="17" t="s">
        <v>42</v>
      </c>
      <c r="AK4" s="17" t="s">
        <v>43</v>
      </c>
      <c r="AL4" s="17" t="s">
        <v>44</v>
      </c>
      <c r="AM4" s="17" t="s">
        <v>45</v>
      </c>
      <c r="AN4" s="17" t="s">
        <v>46</v>
      </c>
      <c r="AO4" s="17" t="s">
        <v>47</v>
      </c>
      <c r="AP4" s="17" t="s">
        <v>48</v>
      </c>
      <c r="AQ4" s="17" t="s">
        <v>49</v>
      </c>
      <c r="AR4" s="17" t="s">
        <v>50</v>
      </c>
      <c r="AS4" s="17" t="s">
        <v>51</v>
      </c>
    </row>
    <row r="5" spans="1:45">
      <c r="A5" s="17">
        <v>50.819000000000003</v>
      </c>
      <c r="B5" s="17">
        <v>25.79</v>
      </c>
      <c r="C5" s="17">
        <f>A5/B5</f>
        <v>1.970492438929818</v>
      </c>
      <c r="D5" s="17">
        <f>ABS((2-C5)/2)*100</f>
        <v>1.4753780535091021</v>
      </c>
      <c r="F5" s="17" t="s">
        <v>52</v>
      </c>
      <c r="G5" s="17">
        <v>50.06</v>
      </c>
      <c r="H5" s="17">
        <v>25.42</v>
      </c>
      <c r="I5" s="17">
        <v>24.658799999999999</v>
      </c>
      <c r="J5" s="17" t="str">
        <f>IF(ABS(G5-H5-I5)&gt;ABS(G5+H5-I5),$L$4,$L$3)</f>
        <v>減極性</v>
      </c>
      <c r="N5" s="17">
        <v>20.18</v>
      </c>
      <c r="O5" s="17">
        <v>0.1767</v>
      </c>
      <c r="P5" s="17">
        <f>N5*O5</f>
        <v>3.5658059999999998</v>
      </c>
      <c r="Q5" s="17">
        <v>2.2000000000000002</v>
      </c>
      <c r="R5" s="17">
        <f>100*Q5/P5</f>
        <v>61.697131027318939</v>
      </c>
      <c r="S5" s="17">
        <v>72.53</v>
      </c>
      <c r="T5" s="17" t="e">
        <f t="shared" ref="T5:T8" si="1">100*ABS((#REF!-S5)/#REF!)</f>
        <v>#REF!</v>
      </c>
      <c r="U5" s="17">
        <v>6.0910000000000002</v>
      </c>
      <c r="V5" s="17">
        <v>3.5579999999999998</v>
      </c>
      <c r="W5" s="17">
        <f t="shared" ref="W5:W9" si="2">U5*V5</f>
        <v>21.671778</v>
      </c>
      <c r="X5" s="17">
        <f t="shared" si="0"/>
        <v>12.002269445521522</v>
      </c>
      <c r="Y5" s="17">
        <v>20.57</v>
      </c>
      <c r="Z5" s="17">
        <f t="shared" ref="Z5:Z9" si="3">V5/U5</f>
        <v>0.58414053521589226</v>
      </c>
      <c r="AA5" s="17">
        <f t="shared" ref="AA5:AA9" si="4">100*Y5/W5</f>
        <v>94.916070107399591</v>
      </c>
      <c r="AI5" s="17">
        <v>0</v>
      </c>
      <c r="AJ5" s="17">
        <v>1.2</v>
      </c>
      <c r="AK5" s="17">
        <v>0.22207099999999999</v>
      </c>
      <c r="AL5" s="17">
        <f>AK5/AJ5</f>
        <v>0.18505916666666666</v>
      </c>
      <c r="AM5" s="17">
        <v>21</v>
      </c>
      <c r="AN5" s="18" t="s">
        <v>53</v>
      </c>
      <c r="AO5" s="17" t="str">
        <f>AN5</f>
        <v>∞</v>
      </c>
      <c r="AP5" s="17" t="str">
        <f>AO5</f>
        <v>∞</v>
      </c>
      <c r="AQ5" s="17">
        <v>21.2</v>
      </c>
      <c r="AR5" s="17">
        <v>103.8</v>
      </c>
      <c r="AS5" s="17">
        <v>9.8000000000000007</v>
      </c>
    </row>
    <row r="6" spans="1:45">
      <c r="F6" s="17" t="s">
        <v>54</v>
      </c>
      <c r="G6" s="17">
        <v>49.893999999999998</v>
      </c>
      <c r="H6" s="17">
        <v>25.33</v>
      </c>
      <c r="I6" s="17">
        <v>24.573499999999999</v>
      </c>
      <c r="J6" s="17" t="str">
        <f>IF(ABS(G6-H6-I6)&gt;ABS(G6+H6-I6),$L$4,$L$3)</f>
        <v>減極性</v>
      </c>
      <c r="N6" s="17">
        <v>40.340000000000003</v>
      </c>
      <c r="O6" s="17">
        <v>0.2616</v>
      </c>
      <c r="P6" s="17">
        <f t="shared" ref="P6:P9" si="5">N6*O6</f>
        <v>10.552944</v>
      </c>
      <c r="Q6" s="17">
        <v>7.66</v>
      </c>
      <c r="R6" s="17">
        <f t="shared" ref="R6:R9" si="6">100*Q6/P6</f>
        <v>72.5863796870333</v>
      </c>
      <c r="S6" s="17">
        <v>71.650000000000006</v>
      </c>
      <c r="T6" s="17" t="e">
        <f t="shared" ref="T6:T8" si="7">100*ABS((#REF!-S6)/#REF!)</f>
        <v>#REF!</v>
      </c>
      <c r="U6" s="17">
        <v>7.157</v>
      </c>
      <c r="V6" s="17">
        <v>4.1829999999999998</v>
      </c>
      <c r="W6" s="17">
        <f t="shared" si="2"/>
        <v>29.937730999999999</v>
      </c>
      <c r="X6" s="17">
        <f t="shared" si="0"/>
        <v>14.102814385420707</v>
      </c>
      <c r="Y6" s="17">
        <v>28.42</v>
      </c>
      <c r="Z6" s="17">
        <f t="shared" si="3"/>
        <v>0.58446276372781891</v>
      </c>
      <c r="AA6" s="17">
        <f t="shared" si="4"/>
        <v>94.930373981916006</v>
      </c>
      <c r="AI6" s="17">
        <v>10</v>
      </c>
      <c r="AJ6" s="17">
        <v>1.2</v>
      </c>
      <c r="AK6" s="17">
        <v>0.22695100000000001</v>
      </c>
      <c r="AL6" s="17">
        <f t="shared" ref="AL6:AL10" si="8">AK6/AJ6</f>
        <v>0.18912583333333335</v>
      </c>
      <c r="AM6" s="17">
        <f>AL6/AL5*(234.5+$AM$5)-234.5</f>
        <v>26.614600735800764</v>
      </c>
      <c r="AN6" s="17" t="str">
        <f>AN5</f>
        <v>∞</v>
      </c>
      <c r="AO6" s="17" t="str">
        <f t="shared" ref="AO6:AP9" si="9">AN6</f>
        <v>∞</v>
      </c>
      <c r="AP6" s="17" t="str">
        <f t="shared" si="9"/>
        <v>∞</v>
      </c>
      <c r="AQ6" s="17">
        <v>21.9</v>
      </c>
      <c r="AR6" s="17">
        <v>103.6</v>
      </c>
      <c r="AS6" s="17">
        <v>9.8000000000000007</v>
      </c>
    </row>
    <row r="7" spans="1:45">
      <c r="N7" s="17">
        <v>60.22</v>
      </c>
      <c r="O7" s="17">
        <v>0.3594</v>
      </c>
      <c r="P7" s="17">
        <f t="shared" si="5"/>
        <v>21.643068</v>
      </c>
      <c r="Q7" s="17">
        <v>15.51</v>
      </c>
      <c r="R7" s="17">
        <f t="shared" si="6"/>
        <v>71.662668157767655</v>
      </c>
      <c r="S7" s="17">
        <v>58</v>
      </c>
      <c r="T7" s="17" t="e">
        <f t="shared" ref="T7:T8" si="10">100*ABS((#REF!-S7)/#REF!)</f>
        <v>#REF!</v>
      </c>
      <c r="U7" s="17">
        <v>8.0459999999999994</v>
      </c>
      <c r="V7" s="17">
        <v>4.7060000000000004</v>
      </c>
      <c r="W7" s="17">
        <f t="shared" si="2"/>
        <v>37.864476000000003</v>
      </c>
      <c r="X7" s="17">
        <f t="shared" si="0"/>
        <v>15.854582163629313</v>
      </c>
      <c r="Y7" s="17">
        <v>35.94</v>
      </c>
      <c r="Z7" s="17">
        <f t="shared" si="3"/>
        <v>0.58488690032314206</v>
      </c>
      <c r="AA7" s="17">
        <f t="shared" si="4"/>
        <v>94.917463006750694</v>
      </c>
      <c r="AI7" s="17">
        <v>20</v>
      </c>
      <c r="AJ7" s="17">
        <v>1.2</v>
      </c>
      <c r="AK7" s="17">
        <v>0.22712199999999999</v>
      </c>
      <c r="AL7" s="17">
        <f>AK7/AJ7</f>
        <v>0.18926833333333334</v>
      </c>
      <c r="AM7" s="17">
        <f>AL7/$AL$5*(234.5+$AM$5)-234.5</f>
        <v>26.811341868141312</v>
      </c>
      <c r="AN7" s="17" t="str">
        <f t="shared" ref="AN7:AN10" si="11">AN6</f>
        <v>∞</v>
      </c>
      <c r="AO7" s="17" t="str">
        <f t="shared" si="9"/>
        <v>∞</v>
      </c>
      <c r="AP7" s="17" t="str">
        <f t="shared" si="9"/>
        <v>∞</v>
      </c>
      <c r="AQ7" s="17">
        <v>23.9</v>
      </c>
      <c r="AR7" s="17">
        <v>103.8</v>
      </c>
      <c r="AS7" s="17">
        <v>9.8000000000000007</v>
      </c>
    </row>
    <row r="8" spans="1:45">
      <c r="N8" s="17">
        <v>80.099999999999994</v>
      </c>
      <c r="O8" s="17">
        <v>0.55389999999999995</v>
      </c>
      <c r="P8" s="17">
        <f t="shared" si="5"/>
        <v>44.367389999999993</v>
      </c>
      <c r="Q8" s="17">
        <v>25.73</v>
      </c>
      <c r="R8" s="17">
        <f t="shared" si="6"/>
        <v>57.993043990191907</v>
      </c>
      <c r="S8" s="17">
        <v>32.03</v>
      </c>
      <c r="T8" s="17" t="e">
        <f t="shared" si="10"/>
        <v>#REF!</v>
      </c>
      <c r="U8" s="17">
        <v>8.9600000000000009</v>
      </c>
      <c r="V8" s="17">
        <v>5.2450000000000001</v>
      </c>
      <c r="W8" s="17">
        <f t="shared" si="2"/>
        <v>46.995200000000004</v>
      </c>
      <c r="X8" s="17">
        <f t="shared" si="0"/>
        <v>17.655612252811171</v>
      </c>
      <c r="Y8" s="17">
        <v>44.61</v>
      </c>
      <c r="Z8" s="17">
        <f t="shared" si="3"/>
        <v>0.58537946428571419</v>
      </c>
      <c r="AA8" s="17">
        <f t="shared" si="4"/>
        <v>94.924588043034177</v>
      </c>
      <c r="AI8" s="17">
        <v>30</v>
      </c>
      <c r="AJ8" s="17">
        <v>1.2</v>
      </c>
      <c r="AK8" s="17">
        <v>0.23433999999999999</v>
      </c>
      <c r="AL8" s="17">
        <f t="shared" si="8"/>
        <v>0.19528333333333334</v>
      </c>
      <c r="AM8" s="17">
        <f>AL8/$AL$5*(234.5+$AM$5)-234.5</f>
        <v>35.115888612200592</v>
      </c>
      <c r="AN8" s="17" t="str">
        <f t="shared" si="11"/>
        <v>∞</v>
      </c>
      <c r="AO8" s="17" t="str">
        <f t="shared" si="9"/>
        <v>∞</v>
      </c>
      <c r="AP8" s="17" t="str">
        <f t="shared" si="9"/>
        <v>∞</v>
      </c>
      <c r="AQ8" s="17">
        <v>25.8</v>
      </c>
      <c r="AR8" s="17">
        <v>103.8</v>
      </c>
      <c r="AS8" s="17">
        <v>9.8000000000000007</v>
      </c>
    </row>
    <row r="9" spans="1:45">
      <c r="N9" s="17">
        <v>100.88</v>
      </c>
      <c r="O9" s="17">
        <v>1.1285000000000001</v>
      </c>
      <c r="P9" s="17">
        <f t="shared" si="5"/>
        <v>113.84308</v>
      </c>
      <c r="Q9" s="17">
        <v>39.369999999999997</v>
      </c>
      <c r="R9" s="17">
        <f t="shared" si="6"/>
        <v>34.582690489399965</v>
      </c>
      <c r="U9" s="17">
        <v>10.087999999999999</v>
      </c>
      <c r="V9" s="17">
        <v>5.9119999999999999</v>
      </c>
      <c r="W9" s="17">
        <f t="shared" si="2"/>
        <v>59.640255999999994</v>
      </c>
      <c r="X9" s="17">
        <f t="shared" si="0"/>
        <v>19.878327723924002</v>
      </c>
      <c r="Y9" s="17">
        <v>56.62</v>
      </c>
      <c r="Z9" s="17">
        <f t="shared" si="3"/>
        <v>0.58604282315622525</v>
      </c>
      <c r="AA9" s="17">
        <f t="shared" si="4"/>
        <v>94.935876868134173</v>
      </c>
      <c r="AI9" s="17">
        <v>40</v>
      </c>
      <c r="AJ9" s="17">
        <v>1.2</v>
      </c>
      <c r="AK9" s="17">
        <v>0.23030999999999999</v>
      </c>
      <c r="AL9" s="17">
        <f t="shared" si="8"/>
        <v>0.19192499999999998</v>
      </c>
      <c r="AM9" s="17">
        <f>AL9/$AL$5*(234.5+$AM$5)-234.5</f>
        <v>30.479240873414312</v>
      </c>
      <c r="AN9" s="17" t="str">
        <f t="shared" si="11"/>
        <v>∞</v>
      </c>
      <c r="AO9" s="17" t="str">
        <f t="shared" si="9"/>
        <v>∞</v>
      </c>
      <c r="AP9" s="17" t="str">
        <f t="shared" si="9"/>
        <v>∞</v>
      </c>
      <c r="AQ9" s="17">
        <v>27.5</v>
      </c>
      <c r="AR9" s="17">
        <v>103.8</v>
      </c>
      <c r="AS9" s="17">
        <v>9.8000000000000007</v>
      </c>
    </row>
    <row r="10" spans="1:45">
      <c r="AI10" s="17">
        <v>50</v>
      </c>
      <c r="AJ10" s="17">
        <v>1.2</v>
      </c>
      <c r="AK10" s="17">
        <v>0.231935</v>
      </c>
      <c r="AL10" s="17">
        <f t="shared" si="8"/>
        <v>0.19327916666666667</v>
      </c>
      <c r="AM10" s="17">
        <f>AL10/$AL$5*(234.5+$AM$5)-234.5</f>
        <v>32.348856897118537</v>
      </c>
      <c r="AN10" s="17" t="str">
        <f t="shared" si="11"/>
        <v>∞</v>
      </c>
      <c r="AO10" s="17" t="str">
        <f>AN10</f>
        <v>∞</v>
      </c>
      <c r="AP10" s="17" t="str">
        <f t="shared" ref="AP10" si="12">AO10</f>
        <v>∞</v>
      </c>
      <c r="AQ10" s="17">
        <v>29</v>
      </c>
      <c r="AR10" s="17">
        <v>103.8</v>
      </c>
      <c r="AS10" s="17">
        <v>9.8000000000000007</v>
      </c>
    </row>
    <row r="11" spans="1:45">
      <c r="F11" s="12" t="s">
        <v>8</v>
      </c>
      <c r="G11" s="13">
        <v>26.5</v>
      </c>
      <c r="H11" s="13" t="s">
        <v>9</v>
      </c>
      <c r="I11" s="13"/>
      <c r="J11" s="14"/>
      <c r="N11" s="12" t="s">
        <v>8</v>
      </c>
      <c r="O11" s="13">
        <v>24.3</v>
      </c>
      <c r="P11" s="13" t="s">
        <v>9</v>
      </c>
      <c r="Q11" s="13"/>
      <c r="R11" s="13"/>
      <c r="S11" s="13"/>
      <c r="T11" s="14"/>
    </row>
    <row r="12" spans="1:45" ht="22">
      <c r="F12" s="17" t="s">
        <v>36</v>
      </c>
      <c r="G12" s="17" t="s">
        <v>37</v>
      </c>
      <c r="H12" s="17" t="s">
        <v>38</v>
      </c>
      <c r="I12" s="17" t="s">
        <v>39</v>
      </c>
      <c r="J12" s="17" t="s">
        <v>40</v>
      </c>
      <c r="K12" s="17" t="s">
        <v>55</v>
      </c>
      <c r="L12" s="17" t="s">
        <v>33</v>
      </c>
      <c r="N12" s="17" t="s">
        <v>21</v>
      </c>
      <c r="O12" s="17" t="s">
        <v>22</v>
      </c>
      <c r="P12" s="17" t="s">
        <v>23</v>
      </c>
      <c r="Q12" s="17" t="s">
        <v>24</v>
      </c>
      <c r="R12" s="17" t="s">
        <v>25</v>
      </c>
      <c r="S12" s="17" t="s">
        <v>26</v>
      </c>
      <c r="T12" s="17" t="s">
        <v>27</v>
      </c>
      <c r="U12" s="17" t="s">
        <v>55</v>
      </c>
      <c r="V12" s="17" t="s">
        <v>33</v>
      </c>
    </row>
    <row r="13" spans="1:45">
      <c r="F13" s="17">
        <v>20.18</v>
      </c>
      <c r="G13" s="17">
        <v>0.1767</v>
      </c>
      <c r="H13" s="17">
        <f>F13*G13</f>
        <v>3.5658059999999998</v>
      </c>
      <c r="I13" s="17">
        <v>2.2000000000000002</v>
      </c>
      <c r="J13" s="17">
        <f>100*I13/H13</f>
        <v>61.697131027318939</v>
      </c>
      <c r="K13" s="17">
        <v>61.54</v>
      </c>
      <c r="L13" s="17">
        <f>100*ABS((R5-K13)/R5)</f>
        <v>0.25468125454547225</v>
      </c>
      <c r="N13" s="17">
        <v>5.0579999999999998</v>
      </c>
      <c r="O13" s="17">
        <v>2.9529999999999998</v>
      </c>
      <c r="P13" s="17">
        <f>N13*O13</f>
        <v>14.936273999999999</v>
      </c>
      <c r="Q13" s="17">
        <f t="shared" ref="Q13:Q18" si="13">$C$5*N13</f>
        <v>9.9667507561070181</v>
      </c>
      <c r="R13" s="17">
        <v>14.18</v>
      </c>
      <c r="S13" s="17">
        <f>O13/N13</f>
        <v>0.58382759984183474</v>
      </c>
      <c r="T13" s="17">
        <f>100*R13/P13</f>
        <v>94.936662249232981</v>
      </c>
      <c r="U13" s="17">
        <v>94.92</v>
      </c>
      <c r="V13" s="17">
        <f>100*ABS((AA4-U13)/AA4)</f>
        <v>1.7550911142459023E-2</v>
      </c>
    </row>
    <row r="14" spans="1:45">
      <c r="F14" s="17">
        <v>40.340000000000003</v>
      </c>
      <c r="G14" s="17">
        <v>0.2616</v>
      </c>
      <c r="H14" s="17">
        <f t="shared" ref="H14:H17" si="14">F14*G14</f>
        <v>10.552944</v>
      </c>
      <c r="I14" s="17">
        <v>7.66</v>
      </c>
      <c r="J14" s="17">
        <f t="shared" ref="J14:J17" si="15">100*I14/H14</f>
        <v>72.5863796870333</v>
      </c>
      <c r="K14" s="17">
        <v>72.53</v>
      </c>
      <c r="L14" s="17">
        <f>100*ABS((R6-K14)/R6)</f>
        <v>7.7672543080931314E-2</v>
      </c>
      <c r="N14" s="17">
        <v>6.0910000000000002</v>
      </c>
      <c r="O14" s="17">
        <v>3.5579999999999998</v>
      </c>
      <c r="P14" s="17">
        <f t="shared" ref="P14:P18" si="16">N14*O14</f>
        <v>21.671778</v>
      </c>
      <c r="Q14" s="17">
        <f t="shared" si="13"/>
        <v>12.002269445521522</v>
      </c>
      <c r="R14" s="17">
        <v>20.57</v>
      </c>
      <c r="S14" s="17">
        <f t="shared" ref="S14:S18" si="17">O14/N14</f>
        <v>0.58414053521589226</v>
      </c>
      <c r="T14" s="17">
        <f t="shared" ref="T14:T18" si="18">100*R14/P14</f>
        <v>94.916070107399591</v>
      </c>
      <c r="U14" s="17">
        <v>94.92</v>
      </c>
      <c r="V14" s="17">
        <f>100*ABS((AA5-U14)/AA5)</f>
        <v>4.140386971314771E-3</v>
      </c>
    </row>
    <row r="15" spans="1:45">
      <c r="F15" s="17">
        <v>60.22</v>
      </c>
      <c r="G15" s="17">
        <v>0.3594</v>
      </c>
      <c r="H15" s="17">
        <f t="shared" si="14"/>
        <v>21.643068</v>
      </c>
      <c r="I15" s="17">
        <v>15.51</v>
      </c>
      <c r="J15" s="17">
        <f t="shared" si="15"/>
        <v>71.662668157767655</v>
      </c>
      <c r="K15" s="17">
        <v>71.650000000000006</v>
      </c>
      <c r="L15" s="17">
        <f>100*ABS((R7-K15)/R7)</f>
        <v>1.7677485493227712E-2</v>
      </c>
      <c r="N15" s="17">
        <v>7.157</v>
      </c>
      <c r="O15" s="17">
        <v>4.1829999999999998</v>
      </c>
      <c r="P15" s="17">
        <f t="shared" si="16"/>
        <v>29.937730999999999</v>
      </c>
      <c r="Q15" s="17">
        <f t="shared" si="13"/>
        <v>14.102814385420707</v>
      </c>
      <c r="R15" s="17">
        <v>28.42</v>
      </c>
      <c r="S15" s="17">
        <f t="shared" si="17"/>
        <v>0.58446276372781891</v>
      </c>
      <c r="T15" s="17">
        <f t="shared" si="18"/>
        <v>94.930373981916006</v>
      </c>
      <c r="U15" s="17">
        <v>94.92</v>
      </c>
      <c r="V15" s="17">
        <f>100*ABS((AA6-U15)/AA6)</f>
        <v>1.0927990147790046E-2</v>
      </c>
    </row>
    <row r="16" spans="1:45">
      <c r="F16" s="17">
        <v>80.099999999999994</v>
      </c>
      <c r="G16" s="17">
        <v>0.55389999999999995</v>
      </c>
      <c r="H16" s="17">
        <f t="shared" si="14"/>
        <v>44.367389999999993</v>
      </c>
      <c r="I16" s="17">
        <v>25.73</v>
      </c>
      <c r="J16" s="17">
        <f t="shared" si="15"/>
        <v>57.993043990191907</v>
      </c>
      <c r="K16" s="17">
        <v>58</v>
      </c>
      <c r="L16" s="17">
        <f>100*ABS((R8-K16)/R8)</f>
        <v>1.1994558880663655E-2</v>
      </c>
      <c r="N16" s="17">
        <v>8.0459999999999994</v>
      </c>
      <c r="O16" s="17">
        <v>4.7060000000000004</v>
      </c>
      <c r="P16" s="17">
        <f t="shared" si="16"/>
        <v>37.864476000000003</v>
      </c>
      <c r="Q16" s="17">
        <f t="shared" si="13"/>
        <v>15.854582163629313</v>
      </c>
      <c r="R16" s="17">
        <v>35.94</v>
      </c>
      <c r="S16" s="17">
        <f t="shared" si="17"/>
        <v>0.58488690032314206</v>
      </c>
      <c r="T16" s="17">
        <f t="shared" si="18"/>
        <v>94.917463006750694</v>
      </c>
      <c r="U16" s="17">
        <v>94.92</v>
      </c>
      <c r="V16" s="17">
        <f>100*ABS((AA7-U16)/AA7)</f>
        <v>2.6728414023532727E-3</v>
      </c>
    </row>
    <row r="17" spans="6:22">
      <c r="F17" s="17">
        <v>100.88</v>
      </c>
      <c r="G17" s="17">
        <v>1.1285000000000001</v>
      </c>
      <c r="H17" s="17">
        <f t="shared" si="14"/>
        <v>113.84308</v>
      </c>
      <c r="I17" s="17">
        <v>39.369999999999997</v>
      </c>
      <c r="J17" s="17">
        <f t="shared" si="15"/>
        <v>34.582690489399965</v>
      </c>
      <c r="K17" s="17">
        <v>32.03</v>
      </c>
      <c r="L17" s="17">
        <f>100*ABS((R9-K17)/R9)</f>
        <v>7.3814109118618063</v>
      </c>
      <c r="N17" s="17">
        <v>8.9600000000000009</v>
      </c>
      <c r="O17" s="17">
        <v>5.2450000000000001</v>
      </c>
      <c r="P17" s="17">
        <f t="shared" si="16"/>
        <v>46.995200000000004</v>
      </c>
      <c r="Q17" s="17">
        <f t="shared" si="13"/>
        <v>17.655612252811171</v>
      </c>
      <c r="R17" s="17">
        <v>44.61</v>
      </c>
      <c r="S17" s="17">
        <f t="shared" si="17"/>
        <v>0.58537946428571419</v>
      </c>
      <c r="T17" s="17">
        <f t="shared" si="18"/>
        <v>94.924588043034177</v>
      </c>
      <c r="U17" s="17">
        <v>94.93</v>
      </c>
      <c r="V17" s="17">
        <f>100*ABS((AA8-U17)/AA8)</f>
        <v>5.7013225734266317E-3</v>
      </c>
    </row>
    <row r="18" spans="6:22">
      <c r="N18" s="17">
        <v>10.087999999999999</v>
      </c>
      <c r="O18" s="17">
        <v>5.9119999999999999</v>
      </c>
      <c r="P18" s="17">
        <f t="shared" si="16"/>
        <v>59.640255999999994</v>
      </c>
      <c r="Q18" s="17">
        <f t="shared" si="13"/>
        <v>19.878327723924002</v>
      </c>
      <c r="R18" s="17">
        <v>56.62</v>
      </c>
      <c r="S18" s="17">
        <f t="shared" si="17"/>
        <v>0.58604282315622525</v>
      </c>
      <c r="T18" s="17">
        <f t="shared" si="18"/>
        <v>94.935876868134173</v>
      </c>
      <c r="U18" s="17">
        <v>94.94</v>
      </c>
      <c r="V18" s="17">
        <f>100*ABS((AA9-U18)/AA9)</f>
        <v>4.343070293174653E-3</v>
      </c>
    </row>
  </sheetData>
  <mergeCells count="2">
    <mergeCell ref="AD2:AE2"/>
    <mergeCell ref="AF2:AG2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707B-3B07-CA49-907A-A05CDA13DD6B}">
  <dimension ref="A1:AS17"/>
  <sheetViews>
    <sheetView topLeftCell="AK1" zoomScale="156" workbookViewId="0">
      <selection activeCell="AL18" sqref="AL18"/>
    </sheetView>
  </sheetViews>
  <sheetFormatPr baseColWidth="10" defaultColWidth="10.7109375" defaultRowHeight="18"/>
  <cols>
    <col min="1" max="13" width="10.7109375" style="1"/>
    <col min="14" max="14" width="13.28515625" style="1" bestFit="1" customWidth="1"/>
    <col min="15" max="15" width="12.28515625" style="1" bestFit="1" customWidth="1"/>
    <col min="16" max="16" width="11.7109375" style="1" customWidth="1"/>
    <col min="17" max="17" width="14" style="1" bestFit="1" customWidth="1"/>
    <col min="18" max="20" width="10.7109375" style="1"/>
    <col min="21" max="21" width="12.42578125" style="1" bestFit="1" customWidth="1"/>
    <col min="22" max="22" width="13" style="1" bestFit="1" customWidth="1"/>
    <col min="23" max="23" width="12.28515625" style="1" bestFit="1" customWidth="1"/>
    <col min="24" max="24" width="16.140625" style="1" bestFit="1" customWidth="1"/>
    <col min="25" max="25" width="12.28515625" style="1" bestFit="1" customWidth="1"/>
    <col min="26" max="26" width="18.5703125" style="1" bestFit="1" customWidth="1"/>
    <col min="27" max="29" width="10.7109375" style="1"/>
    <col min="30" max="30" width="19.5703125" style="1" bestFit="1" customWidth="1"/>
    <col min="31" max="33" width="17.140625" style="1" bestFit="1" customWidth="1"/>
    <col min="34" max="35" width="10.7109375" style="1"/>
    <col min="36" max="37" width="23" style="1" bestFit="1" customWidth="1"/>
    <col min="38" max="38" width="13.28515625" style="1" bestFit="1" customWidth="1"/>
    <col min="39" max="39" width="13.85546875" style="1" bestFit="1" customWidth="1"/>
    <col min="40" max="16384" width="10.7109375" style="1"/>
  </cols>
  <sheetData>
    <row r="1" spans="1:45">
      <c r="A1" s="1" t="s">
        <v>0</v>
      </c>
      <c r="F1" s="1" t="s">
        <v>1</v>
      </c>
      <c r="N1" s="1" t="s">
        <v>2</v>
      </c>
      <c r="U1" s="1" t="s">
        <v>3</v>
      </c>
      <c r="AD1" s="1" t="s">
        <v>4</v>
      </c>
      <c r="AI1" s="1" t="s">
        <v>5</v>
      </c>
    </row>
    <row r="2" spans="1:45" ht="22">
      <c r="A2" s="2" t="s">
        <v>7</v>
      </c>
      <c r="F2" s="3" t="s">
        <v>8</v>
      </c>
      <c r="G2" s="4">
        <v>27.3</v>
      </c>
      <c r="H2" s="5" t="s">
        <v>9</v>
      </c>
      <c r="I2" s="6"/>
      <c r="J2" s="7"/>
      <c r="N2" s="1" t="s">
        <v>56</v>
      </c>
      <c r="P2" s="1" t="s">
        <v>57</v>
      </c>
      <c r="U2" s="3" t="s">
        <v>8</v>
      </c>
      <c r="V2" s="4">
        <v>27.8</v>
      </c>
      <c r="W2" s="5" t="s">
        <v>9</v>
      </c>
      <c r="X2" s="6"/>
      <c r="Y2" s="6"/>
      <c r="Z2" s="6"/>
      <c r="AA2" s="7"/>
      <c r="AD2" s="20" t="s">
        <v>12</v>
      </c>
      <c r="AE2" s="20"/>
      <c r="AF2" s="20" t="s">
        <v>13</v>
      </c>
      <c r="AG2" s="20"/>
      <c r="AI2" s="1" t="s">
        <v>14</v>
      </c>
    </row>
    <row r="3" spans="1:45" ht="22">
      <c r="A3" s="3" t="s">
        <v>8</v>
      </c>
      <c r="B3" s="4">
        <v>27.4</v>
      </c>
      <c r="C3" s="5" t="s">
        <v>9</v>
      </c>
      <c r="D3" s="9"/>
      <c r="F3" s="8" t="s">
        <v>15</v>
      </c>
      <c r="G3" s="8" t="s">
        <v>58</v>
      </c>
      <c r="H3" s="8" t="s">
        <v>59</v>
      </c>
      <c r="I3" s="8" t="s">
        <v>60</v>
      </c>
      <c r="J3" s="8" t="s">
        <v>19</v>
      </c>
      <c r="L3" s="1" t="s">
        <v>20</v>
      </c>
      <c r="N3" s="3" t="s">
        <v>8</v>
      </c>
      <c r="O3" s="4">
        <v>27.5</v>
      </c>
      <c r="P3" s="5" t="s">
        <v>9</v>
      </c>
      <c r="Q3" s="6"/>
      <c r="R3" s="7"/>
      <c r="U3" s="8" t="s">
        <v>61</v>
      </c>
      <c r="V3" s="8" t="s">
        <v>62</v>
      </c>
      <c r="W3" s="8" t="s">
        <v>23</v>
      </c>
      <c r="X3" s="8" t="s">
        <v>63</v>
      </c>
      <c r="Y3" s="8" t="s">
        <v>64</v>
      </c>
      <c r="Z3" s="8" t="s">
        <v>26</v>
      </c>
      <c r="AA3" s="8" t="s">
        <v>27</v>
      </c>
      <c r="AD3" s="8" t="s">
        <v>28</v>
      </c>
      <c r="AE3" s="8" t="s">
        <v>29</v>
      </c>
      <c r="AF3" s="8" t="s">
        <v>28</v>
      </c>
      <c r="AG3" s="8" t="s">
        <v>29</v>
      </c>
      <c r="AI3" s="3" t="s">
        <v>8</v>
      </c>
      <c r="AJ3" s="4">
        <v>27.2</v>
      </c>
      <c r="AK3" s="5" t="s">
        <v>9</v>
      </c>
      <c r="AL3" s="6"/>
      <c r="AM3" s="6"/>
      <c r="AN3" s="6"/>
      <c r="AO3" s="6"/>
      <c r="AP3" s="6"/>
      <c r="AQ3" s="6"/>
      <c r="AR3" s="6"/>
      <c r="AS3" s="7"/>
    </row>
    <row r="4" spans="1:45" ht="22">
      <c r="A4" s="8" t="s">
        <v>30</v>
      </c>
      <c r="B4" s="8" t="s">
        <v>31</v>
      </c>
      <c r="C4" s="8" t="s">
        <v>32</v>
      </c>
      <c r="D4" s="8" t="s">
        <v>33</v>
      </c>
      <c r="F4" s="8" t="s">
        <v>34</v>
      </c>
      <c r="G4" s="8">
        <v>50.427999999999997</v>
      </c>
      <c r="H4" s="8">
        <v>25.59</v>
      </c>
      <c r="I4" s="8">
        <v>24.8384</v>
      </c>
      <c r="J4" s="8" t="str">
        <f>IF(ABS(G4-H4-I4)&gt;ABS(G4+H4-I4),$L$4,$L$3)</f>
        <v>減極性</v>
      </c>
      <c r="L4" s="1" t="s">
        <v>35</v>
      </c>
      <c r="N4" s="8" t="s">
        <v>65</v>
      </c>
      <c r="O4" s="8" t="s">
        <v>66</v>
      </c>
      <c r="P4" s="8" t="s">
        <v>38</v>
      </c>
      <c r="Q4" s="8" t="s">
        <v>67</v>
      </c>
      <c r="R4" s="8" t="s">
        <v>40</v>
      </c>
      <c r="S4" s="10"/>
      <c r="U4" s="8">
        <v>5.0960000000000001</v>
      </c>
      <c r="V4" s="8">
        <v>2.9380000000000002</v>
      </c>
      <c r="W4" s="8">
        <f>U4*V4</f>
        <v>14.972048000000001</v>
      </c>
      <c r="X4" s="8">
        <f t="shared" ref="X4:X9" si="0">$C$5*U4</f>
        <v>10.04058847352025</v>
      </c>
      <c r="Y4" s="8">
        <v>14.19</v>
      </c>
      <c r="Z4" s="8">
        <f>V4/U4</f>
        <v>0.57653061224489799</v>
      </c>
      <c r="AA4" s="8">
        <f>100*Y4/W4</f>
        <v>94.776613059215407</v>
      </c>
      <c r="AD4" s="8">
        <v>50.890999999999998</v>
      </c>
      <c r="AE4" s="8">
        <v>25.59</v>
      </c>
      <c r="AF4" s="8">
        <v>50.18</v>
      </c>
      <c r="AG4" s="8">
        <v>44.53</v>
      </c>
      <c r="AI4" s="8" t="s">
        <v>41</v>
      </c>
      <c r="AJ4" s="8" t="s">
        <v>42</v>
      </c>
      <c r="AK4" s="8" t="s">
        <v>43</v>
      </c>
      <c r="AL4" s="8" t="s">
        <v>44</v>
      </c>
      <c r="AM4" s="8" t="s">
        <v>45</v>
      </c>
      <c r="AN4" s="8" t="s">
        <v>46</v>
      </c>
      <c r="AO4" s="8" t="s">
        <v>47</v>
      </c>
      <c r="AP4" s="8" t="s">
        <v>48</v>
      </c>
      <c r="AQ4" s="8" t="s">
        <v>49</v>
      </c>
      <c r="AR4" s="8" t="s">
        <v>50</v>
      </c>
      <c r="AS4" s="8" t="s">
        <v>51</v>
      </c>
    </row>
    <row r="5" spans="1:45">
      <c r="A5" s="8">
        <v>50.597000000000001</v>
      </c>
      <c r="B5" s="8">
        <v>25.68</v>
      </c>
      <c r="C5" s="8">
        <f>A5/B5</f>
        <v>1.9702881619937695</v>
      </c>
      <c r="D5" s="8">
        <f>ABS((2-C5)/2)*100</f>
        <v>1.4855919003115226</v>
      </c>
      <c r="F5" s="8" t="s">
        <v>52</v>
      </c>
      <c r="G5" s="8">
        <v>50.115000000000002</v>
      </c>
      <c r="H5" s="8">
        <v>25.43</v>
      </c>
      <c r="I5" s="8">
        <v>24.679200000000002</v>
      </c>
      <c r="J5" s="8" t="str">
        <f>IF(ABS(G5-H5-I5)&gt;ABS(G5+H5-I5),$L$4,$L$3)</f>
        <v>減極性</v>
      </c>
      <c r="N5" s="8">
        <v>20.010000000000002</v>
      </c>
      <c r="O5" s="8">
        <v>0.1757</v>
      </c>
      <c r="P5" s="8">
        <f>N5*O5</f>
        <v>3.5157570000000002</v>
      </c>
      <c r="Q5" s="8">
        <v>2.15</v>
      </c>
      <c r="R5" s="8">
        <f>100*Q5/P5</f>
        <v>61.153259454507236</v>
      </c>
      <c r="U5" s="8">
        <v>6.0259999999999998</v>
      </c>
      <c r="V5" s="8">
        <v>3.4790000000000001</v>
      </c>
      <c r="W5" s="8">
        <f t="shared" ref="W5:W9" si="1">U5*V5</f>
        <v>20.964454</v>
      </c>
      <c r="X5" s="8">
        <f t="shared" si="0"/>
        <v>11.872956464174456</v>
      </c>
      <c r="Y5" s="8">
        <v>19.88</v>
      </c>
      <c r="Z5" s="8">
        <f t="shared" ref="Z5:Z9" si="2">V5/U5</f>
        <v>0.57733156322602064</v>
      </c>
      <c r="AA5" s="8">
        <f t="shared" ref="AA5:AA9" si="3">100*Y5/W5</f>
        <v>94.827177469062633</v>
      </c>
      <c r="AI5" s="8">
        <v>0</v>
      </c>
      <c r="AJ5" s="8">
        <v>1.2</v>
      </c>
      <c r="AK5" s="8">
        <v>0.22</v>
      </c>
      <c r="AL5" s="8">
        <f t="shared" ref="AL5:AL10" si="4">AK5/AJ5</f>
        <v>0.18333333333333335</v>
      </c>
      <c r="AM5" s="8">
        <v>18.5</v>
      </c>
      <c r="AN5" s="8" t="s">
        <v>53</v>
      </c>
      <c r="AO5" s="8" t="str">
        <f>AN5</f>
        <v>∞</v>
      </c>
      <c r="AP5" s="8" t="str">
        <f>AO5</f>
        <v>∞</v>
      </c>
      <c r="AQ5" s="8">
        <v>18.8</v>
      </c>
      <c r="AR5" s="8">
        <v>102.3</v>
      </c>
      <c r="AS5" s="11">
        <v>9.9</v>
      </c>
    </row>
    <row r="6" spans="1:45">
      <c r="F6" s="8" t="s">
        <v>54</v>
      </c>
      <c r="G6" s="8">
        <v>50.598999999999997</v>
      </c>
      <c r="H6" s="8">
        <v>25.68</v>
      </c>
      <c r="I6" s="8">
        <v>24.921099999999999</v>
      </c>
      <c r="J6" s="8" t="str">
        <f>IF(ABS(G6-H6-I6)&gt;ABS(G6+H6-I6),$L$4,$L$3)</f>
        <v>減極性</v>
      </c>
      <c r="N6" s="8">
        <v>40.65</v>
      </c>
      <c r="O6" s="8">
        <v>0.26250000000000001</v>
      </c>
      <c r="P6" s="8">
        <f t="shared" ref="P6:P9" si="5">N6*O6</f>
        <v>10.670624999999999</v>
      </c>
      <c r="Q6" s="8">
        <v>7.75</v>
      </c>
      <c r="R6" s="8">
        <f t="shared" ref="R6:R9" si="6">100*Q6/P6</f>
        <v>72.629297721548653</v>
      </c>
      <c r="U6" s="8">
        <v>7.0460000000000003</v>
      </c>
      <c r="V6" s="8">
        <v>4.0739999999999998</v>
      </c>
      <c r="W6" s="8">
        <f t="shared" si="1"/>
        <v>28.705404000000001</v>
      </c>
      <c r="X6" s="8">
        <f t="shared" si="0"/>
        <v>13.8826503894081</v>
      </c>
      <c r="Y6" s="8">
        <v>27.22</v>
      </c>
      <c r="Z6" s="8">
        <f t="shared" si="2"/>
        <v>0.57820039738858919</v>
      </c>
      <c r="AA6" s="8">
        <f t="shared" si="3"/>
        <v>94.825350655228533</v>
      </c>
      <c r="AI6" s="8">
        <v>10</v>
      </c>
      <c r="AJ6" s="8">
        <v>1.2</v>
      </c>
      <c r="AK6" s="8">
        <v>0.223</v>
      </c>
      <c r="AL6" s="8">
        <f t="shared" si="4"/>
        <v>0.18583333333333335</v>
      </c>
      <c r="AM6" s="8">
        <f>AL6/AL5*(234.5+$AM$5)-234.5</f>
        <v>21.949999999999989</v>
      </c>
      <c r="AN6" s="8" t="str">
        <f>AN5</f>
        <v>∞</v>
      </c>
      <c r="AO6" s="8" t="str">
        <f t="shared" ref="AO6:AP10" si="7">AN6</f>
        <v>∞</v>
      </c>
      <c r="AP6" s="8" t="str">
        <f t="shared" si="7"/>
        <v>∞</v>
      </c>
      <c r="AQ6" s="8">
        <v>19.8</v>
      </c>
      <c r="AR6" s="8">
        <v>102.3</v>
      </c>
      <c r="AS6" s="11">
        <v>9.9499999999999993</v>
      </c>
    </row>
    <row r="7" spans="1:45">
      <c r="N7" s="8">
        <v>60.58</v>
      </c>
      <c r="O7" s="8">
        <v>0.36180000000000001</v>
      </c>
      <c r="P7" s="8">
        <f t="shared" si="5"/>
        <v>21.917843999999999</v>
      </c>
      <c r="Q7" s="8">
        <v>15.65</v>
      </c>
      <c r="R7" s="8">
        <f t="shared" si="6"/>
        <v>71.403008434588727</v>
      </c>
      <c r="U7" s="8">
        <v>8.0760000000000005</v>
      </c>
      <c r="V7" s="8">
        <v>4.6760000000000002</v>
      </c>
      <c r="W7" s="8">
        <f t="shared" si="1"/>
        <v>37.763376000000001</v>
      </c>
      <c r="X7" s="8">
        <f t="shared" si="0"/>
        <v>15.912047196261684</v>
      </c>
      <c r="Y7" s="8">
        <v>35.81</v>
      </c>
      <c r="Z7" s="8">
        <f t="shared" si="2"/>
        <v>0.57899950470529959</v>
      </c>
      <c r="AA7" s="8">
        <f t="shared" si="3"/>
        <v>94.827326878825659</v>
      </c>
      <c r="AI7" s="8">
        <v>20</v>
      </c>
      <c r="AJ7" s="8">
        <v>1.2</v>
      </c>
      <c r="AK7" s="8">
        <v>0.224</v>
      </c>
      <c r="AL7" s="8">
        <f t="shared" si="4"/>
        <v>0.18666666666666668</v>
      </c>
      <c r="AM7" s="8">
        <f>AL7/$AL$5*(234.5+$AM$5)-234.5</f>
        <v>23.099999999999966</v>
      </c>
      <c r="AN7" s="8" t="str">
        <f t="shared" ref="AN7:AN10" si="8">AN6</f>
        <v>∞</v>
      </c>
      <c r="AO7" s="8" t="str">
        <f t="shared" si="7"/>
        <v>∞</v>
      </c>
      <c r="AP7" s="8" t="str">
        <f t="shared" si="7"/>
        <v>∞</v>
      </c>
      <c r="AQ7" s="1">
        <v>21.8</v>
      </c>
      <c r="AR7" s="8">
        <v>103.8</v>
      </c>
      <c r="AS7" s="11">
        <v>10</v>
      </c>
    </row>
    <row r="8" spans="1:45">
      <c r="N8" s="8">
        <v>80.86</v>
      </c>
      <c r="O8" s="8">
        <v>0.5675</v>
      </c>
      <c r="P8" s="8">
        <f t="shared" si="5"/>
        <v>45.88805</v>
      </c>
      <c r="Q8" s="8">
        <v>26.13</v>
      </c>
      <c r="R8" s="8">
        <f t="shared" si="6"/>
        <v>56.942929586243039</v>
      </c>
      <c r="U8" s="8">
        <v>9.0020000000000007</v>
      </c>
      <c r="V8" s="8">
        <v>5.2210000000000001</v>
      </c>
      <c r="W8" s="8">
        <f t="shared" si="1"/>
        <v>46.999442000000002</v>
      </c>
      <c r="X8" s="8">
        <f t="shared" si="0"/>
        <v>17.736534034267915</v>
      </c>
      <c r="Y8" s="8">
        <v>44.58</v>
      </c>
      <c r="Z8" s="8">
        <f t="shared" si="2"/>
        <v>0.57998222617196171</v>
      </c>
      <c r="AA8" s="8">
        <f t="shared" si="3"/>
        <v>94.852189947276386</v>
      </c>
      <c r="AI8" s="8">
        <v>30</v>
      </c>
      <c r="AJ8" s="8">
        <v>1.2</v>
      </c>
      <c r="AK8" s="8">
        <v>0.22500000000000001</v>
      </c>
      <c r="AL8" s="8">
        <f t="shared" si="4"/>
        <v>0.1875</v>
      </c>
      <c r="AM8" s="8">
        <f>AL8/$AL$5*(234.5+$AM$5)-234.5</f>
        <v>24.25</v>
      </c>
      <c r="AN8" s="8" t="str">
        <f t="shared" si="8"/>
        <v>∞</v>
      </c>
      <c r="AO8" s="8" t="str">
        <f t="shared" si="7"/>
        <v>∞</v>
      </c>
      <c r="AP8" s="8" t="str">
        <f t="shared" si="7"/>
        <v>∞</v>
      </c>
      <c r="AQ8" s="8">
        <v>23.9</v>
      </c>
      <c r="AR8" s="8">
        <v>103.8</v>
      </c>
      <c r="AS8" s="8">
        <v>9.98</v>
      </c>
    </row>
    <row r="9" spans="1:45">
      <c r="N9" s="8">
        <v>100.42</v>
      </c>
      <c r="O9" s="8">
        <v>1.1914</v>
      </c>
      <c r="P9" s="8">
        <f t="shared" si="5"/>
        <v>119.640388</v>
      </c>
      <c r="Q9" s="8">
        <v>38.96</v>
      </c>
      <c r="R9" s="8">
        <f t="shared" si="6"/>
        <v>32.564254137992265</v>
      </c>
      <c r="U9" s="8">
        <v>10.039999999999999</v>
      </c>
      <c r="V9" s="8">
        <v>5.8339999999999996</v>
      </c>
      <c r="W9" s="8">
        <f t="shared" si="1"/>
        <v>58.573359999999994</v>
      </c>
      <c r="X9" s="8">
        <f t="shared" si="0"/>
        <v>19.781693146417446</v>
      </c>
      <c r="Y9" s="8">
        <v>55.57</v>
      </c>
      <c r="Z9" s="8">
        <f t="shared" si="2"/>
        <v>0.58107569721115537</v>
      </c>
      <c r="AA9" s="8">
        <f t="shared" si="3"/>
        <v>94.872481278178356</v>
      </c>
      <c r="AI9" s="8">
        <v>40</v>
      </c>
      <c r="AJ9" s="8">
        <v>1.2</v>
      </c>
      <c r="AK9" s="8">
        <v>0.22800000000000001</v>
      </c>
      <c r="AL9" s="8">
        <f t="shared" si="4"/>
        <v>0.19</v>
      </c>
      <c r="AM9" s="8">
        <f>AL9/$AL$5*(234.5+$AM$5)-234.5</f>
        <v>27.699999999999989</v>
      </c>
      <c r="AN9" s="8" t="str">
        <f t="shared" si="8"/>
        <v>∞</v>
      </c>
      <c r="AO9" s="8" t="str">
        <f t="shared" si="7"/>
        <v>∞</v>
      </c>
      <c r="AP9" s="8" t="str">
        <f t="shared" si="7"/>
        <v>∞</v>
      </c>
      <c r="AQ9" s="8">
        <v>25.8</v>
      </c>
      <c r="AR9" s="8">
        <v>103.8</v>
      </c>
      <c r="AS9" s="8">
        <v>10</v>
      </c>
    </row>
    <row r="10" spans="1:45">
      <c r="N10" s="10"/>
      <c r="V10" s="10"/>
      <c r="Y10" s="10"/>
      <c r="AI10" s="8">
        <v>50</v>
      </c>
      <c r="AJ10" s="8">
        <v>1.2</v>
      </c>
      <c r="AK10" s="8">
        <v>0.22900000000000001</v>
      </c>
      <c r="AL10" s="8">
        <f t="shared" si="4"/>
        <v>0.19083333333333335</v>
      </c>
      <c r="AM10" s="8">
        <f>AL10/$AL$5*(234.5+$AM$5)-234.5</f>
        <v>28.850000000000023</v>
      </c>
      <c r="AN10" s="8" t="str">
        <f t="shared" si="8"/>
        <v>∞</v>
      </c>
      <c r="AO10" s="8" t="str">
        <f t="shared" si="7"/>
        <v>∞</v>
      </c>
      <c r="AP10" s="8" t="str">
        <f t="shared" si="7"/>
        <v>∞</v>
      </c>
      <c r="AQ10" s="8">
        <v>27.4</v>
      </c>
      <c r="AR10" s="8">
        <v>104.1</v>
      </c>
      <c r="AS10" s="8">
        <v>10.1</v>
      </c>
    </row>
    <row r="11" spans="1:45">
      <c r="N11" s="8" t="s">
        <v>55</v>
      </c>
      <c r="O11" s="8" t="s">
        <v>33</v>
      </c>
      <c r="U11" s="8" t="s">
        <v>55</v>
      </c>
      <c r="V11" s="8" t="s">
        <v>33</v>
      </c>
    </row>
    <row r="12" spans="1:45">
      <c r="N12" s="8">
        <v>60.13</v>
      </c>
      <c r="O12" s="8">
        <f>100*ABS((R5-N12)/R5)</f>
        <v>1.673270506976738</v>
      </c>
      <c r="U12" s="8">
        <v>94.8</v>
      </c>
      <c r="V12" s="8">
        <f>100*ABS((AA4-U12)/AA4)</f>
        <v>2.4675856236789376E-2</v>
      </c>
    </row>
    <row r="13" spans="1:45">
      <c r="N13" s="8">
        <v>71.36</v>
      </c>
      <c r="O13" s="8">
        <f t="shared" ref="O13:O16" si="9">100*ABS((R6-N13)/R6)</f>
        <v>1.7476387096774324</v>
      </c>
      <c r="U13" s="8">
        <v>94.81</v>
      </c>
      <c r="V13" s="8">
        <f t="shared" ref="V13:V17" si="10">100*ABS((AA5-U13)/AA5)</f>
        <v>1.8114499999997244E-2</v>
      </c>
    </row>
    <row r="14" spans="1:45">
      <c r="N14" s="8">
        <v>71.36</v>
      </c>
      <c r="O14" s="8">
        <f t="shared" si="9"/>
        <v>6.0233364856226559E-2</v>
      </c>
      <c r="U14" s="8">
        <v>94.8</v>
      </c>
      <c r="V14" s="8">
        <f t="shared" si="10"/>
        <v>2.67340484937485E-2</v>
      </c>
    </row>
    <row r="15" spans="1:45">
      <c r="N15" s="8">
        <v>56.94</v>
      </c>
      <c r="O15" s="8">
        <f t="shared" si="9"/>
        <v>5.1447761194032262E-3</v>
      </c>
      <c r="U15" s="8">
        <v>94.84</v>
      </c>
      <c r="V15" s="8">
        <f t="shared" si="10"/>
        <v>1.3364418877418068E-2</v>
      </c>
    </row>
    <row r="16" spans="1:45">
      <c r="N16" s="8">
        <v>32.56</v>
      </c>
      <c r="O16" s="8">
        <f t="shared" si="9"/>
        <v>1.3063827515395914E-2</v>
      </c>
      <c r="U16" s="8">
        <v>94.86</v>
      </c>
      <c r="V16" s="8">
        <f t="shared" si="10"/>
        <v>8.2339192463076975E-3</v>
      </c>
    </row>
    <row r="17" spans="21:22">
      <c r="U17" s="8">
        <v>94.88</v>
      </c>
      <c r="V17" s="8">
        <f t="shared" si="10"/>
        <v>7.9250818786894238E-3</v>
      </c>
    </row>
  </sheetData>
  <mergeCells count="2">
    <mergeCell ref="AD2:AE2"/>
    <mergeCell ref="AF2:AG2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DE05-D339-E142-93BA-7CCA94AD7050}">
  <dimension ref="A1:AS17"/>
  <sheetViews>
    <sheetView zoomScale="141" workbookViewId="0">
      <selection activeCell="D17" sqref="D17"/>
    </sheetView>
  </sheetViews>
  <sheetFormatPr baseColWidth="10" defaultColWidth="10.7109375" defaultRowHeight="18"/>
  <cols>
    <col min="1" max="13" width="10.7109375" style="1"/>
    <col min="14" max="14" width="13.28515625" style="1" bestFit="1" customWidth="1"/>
    <col min="15" max="15" width="12.28515625" style="1" bestFit="1" customWidth="1"/>
    <col min="16" max="16" width="11.7109375" style="1" customWidth="1"/>
    <col min="17" max="17" width="14" style="1" bestFit="1" customWidth="1"/>
    <col min="18" max="20" width="10.7109375" style="1"/>
    <col min="21" max="21" width="12.42578125" style="1" bestFit="1" customWidth="1"/>
    <col min="22" max="22" width="13" style="1" bestFit="1" customWidth="1"/>
    <col min="23" max="23" width="12.28515625" style="1" bestFit="1" customWidth="1"/>
    <col min="24" max="24" width="16.140625" style="1" bestFit="1" customWidth="1"/>
    <col min="25" max="25" width="12.28515625" style="1" bestFit="1" customWidth="1"/>
    <col min="26" max="26" width="18.5703125" style="1" bestFit="1" customWidth="1"/>
    <col min="27" max="29" width="10.7109375" style="1"/>
    <col min="30" max="30" width="19.5703125" style="1" bestFit="1" customWidth="1"/>
    <col min="31" max="33" width="17.140625" style="1" bestFit="1" customWidth="1"/>
    <col min="34" max="35" width="10.7109375" style="1"/>
    <col min="36" max="37" width="23" style="1" bestFit="1" customWidth="1"/>
    <col min="38" max="38" width="13.28515625" style="1" bestFit="1" customWidth="1"/>
    <col min="39" max="39" width="13.85546875" style="1" bestFit="1" customWidth="1"/>
    <col min="40" max="16384" width="10.7109375" style="1"/>
  </cols>
  <sheetData>
    <row r="1" spans="1:45">
      <c r="A1" s="1" t="s">
        <v>0</v>
      </c>
      <c r="F1" s="1" t="s">
        <v>1</v>
      </c>
      <c r="N1" s="1" t="s">
        <v>2</v>
      </c>
      <c r="U1" s="1" t="s">
        <v>3</v>
      </c>
      <c r="AD1" s="1" t="s">
        <v>4</v>
      </c>
      <c r="AI1" s="1" t="s">
        <v>5</v>
      </c>
    </row>
    <row r="2" spans="1:45" ht="22">
      <c r="A2" s="2" t="s">
        <v>7</v>
      </c>
      <c r="F2" s="3" t="s">
        <v>8</v>
      </c>
      <c r="G2" s="4"/>
      <c r="H2" s="5" t="s">
        <v>9</v>
      </c>
      <c r="I2" s="6"/>
      <c r="J2" s="7"/>
      <c r="N2" s="1" t="s">
        <v>56</v>
      </c>
      <c r="P2" s="1" t="s">
        <v>57</v>
      </c>
      <c r="U2" s="3" t="s">
        <v>8</v>
      </c>
      <c r="V2" s="4"/>
      <c r="W2" s="5" t="s">
        <v>9</v>
      </c>
      <c r="X2" s="6"/>
      <c r="Y2" s="6"/>
      <c r="Z2" s="6"/>
      <c r="AA2" s="7"/>
      <c r="AD2" s="20" t="s">
        <v>12</v>
      </c>
      <c r="AE2" s="20"/>
      <c r="AF2" s="20" t="s">
        <v>13</v>
      </c>
      <c r="AG2" s="20"/>
      <c r="AI2" s="1" t="s">
        <v>14</v>
      </c>
    </row>
    <row r="3" spans="1:45" ht="22">
      <c r="A3" s="3" t="s">
        <v>8</v>
      </c>
      <c r="B3" s="4"/>
      <c r="C3" s="5" t="s">
        <v>9</v>
      </c>
      <c r="D3" s="9"/>
      <c r="F3" s="8" t="s">
        <v>15</v>
      </c>
      <c r="G3" s="8" t="s">
        <v>58</v>
      </c>
      <c r="H3" s="8" t="s">
        <v>59</v>
      </c>
      <c r="I3" s="8" t="s">
        <v>60</v>
      </c>
      <c r="J3" s="8" t="s">
        <v>19</v>
      </c>
      <c r="L3" s="1" t="s">
        <v>20</v>
      </c>
      <c r="N3" s="3" t="s">
        <v>8</v>
      </c>
      <c r="O3" s="4"/>
      <c r="P3" s="5" t="s">
        <v>9</v>
      </c>
      <c r="Q3" s="6"/>
      <c r="R3" s="7"/>
      <c r="U3" s="8" t="s">
        <v>61</v>
      </c>
      <c r="V3" s="8" t="s">
        <v>62</v>
      </c>
      <c r="W3" s="8" t="s">
        <v>23</v>
      </c>
      <c r="X3" s="8" t="s">
        <v>63</v>
      </c>
      <c r="Y3" s="8" t="s">
        <v>64</v>
      </c>
      <c r="Z3" s="8" t="s">
        <v>26</v>
      </c>
      <c r="AA3" s="8" t="s">
        <v>27</v>
      </c>
      <c r="AD3" s="8" t="s">
        <v>28</v>
      </c>
      <c r="AE3" s="8" t="s">
        <v>29</v>
      </c>
      <c r="AF3" s="8" t="s">
        <v>28</v>
      </c>
      <c r="AG3" s="8" t="s">
        <v>29</v>
      </c>
      <c r="AI3" s="3" t="s">
        <v>8</v>
      </c>
      <c r="AJ3" s="4"/>
      <c r="AK3" s="5" t="s">
        <v>9</v>
      </c>
      <c r="AL3" s="6"/>
      <c r="AM3" s="6"/>
      <c r="AN3" s="6"/>
      <c r="AO3" s="6"/>
      <c r="AP3" s="6"/>
      <c r="AQ3" s="6"/>
      <c r="AR3" s="6"/>
      <c r="AS3" s="7"/>
    </row>
    <row r="4" spans="1:45" ht="22">
      <c r="A4" s="8" t="s">
        <v>30</v>
      </c>
      <c r="B4" s="8" t="s">
        <v>31</v>
      </c>
      <c r="C4" s="8" t="s">
        <v>32</v>
      </c>
      <c r="D4" s="8" t="s">
        <v>33</v>
      </c>
      <c r="F4" s="8" t="s">
        <v>34</v>
      </c>
      <c r="G4" s="8"/>
      <c r="H4" s="8"/>
      <c r="I4" s="8"/>
      <c r="J4" s="8" t="str">
        <f>IF(ABS(G4-H4-I4)&gt;ABS(G4+H4-I4),$L$4,$L$3)</f>
        <v>減極性</v>
      </c>
      <c r="L4" s="1" t="s">
        <v>35</v>
      </c>
      <c r="N4" s="8" t="s">
        <v>65</v>
      </c>
      <c r="O4" s="8" t="s">
        <v>66</v>
      </c>
      <c r="P4" s="8" t="s">
        <v>38</v>
      </c>
      <c r="Q4" s="8" t="s">
        <v>67</v>
      </c>
      <c r="R4" s="8" t="s">
        <v>40</v>
      </c>
      <c r="S4" s="10"/>
      <c r="U4" s="8"/>
      <c r="V4" s="8"/>
      <c r="W4" s="8">
        <f>U4*V4</f>
        <v>0</v>
      </c>
      <c r="X4" s="8" t="e">
        <f t="shared" ref="X4:X9" si="0">$C$5*U4</f>
        <v>#DIV/0!</v>
      </c>
      <c r="Y4" s="8"/>
      <c r="Z4" s="8" t="e">
        <f>V4/U4</f>
        <v>#DIV/0!</v>
      </c>
      <c r="AA4" s="8" t="e">
        <f>100*Y4/W4</f>
        <v>#DIV/0!</v>
      </c>
      <c r="AD4" s="8"/>
      <c r="AE4" s="8"/>
      <c r="AF4" s="8"/>
      <c r="AG4" s="8"/>
      <c r="AI4" s="8" t="s">
        <v>41</v>
      </c>
      <c r="AJ4" s="8" t="s">
        <v>42</v>
      </c>
      <c r="AK4" s="8" t="s">
        <v>43</v>
      </c>
      <c r="AL4" s="8" t="s">
        <v>44</v>
      </c>
      <c r="AM4" s="8" t="s">
        <v>45</v>
      </c>
      <c r="AN4" s="8" t="s">
        <v>46</v>
      </c>
      <c r="AO4" s="8" t="s">
        <v>47</v>
      </c>
      <c r="AP4" s="8" t="s">
        <v>48</v>
      </c>
      <c r="AQ4" s="8" t="s">
        <v>49</v>
      </c>
      <c r="AR4" s="8" t="s">
        <v>50</v>
      </c>
      <c r="AS4" s="8" t="s">
        <v>51</v>
      </c>
    </row>
    <row r="5" spans="1:45">
      <c r="A5" s="8"/>
      <c r="B5" s="8"/>
      <c r="C5" s="8" t="e">
        <f>A5/B5</f>
        <v>#DIV/0!</v>
      </c>
      <c r="D5" s="8" t="e">
        <f>ABS((2-C5)/2)*100</f>
        <v>#DIV/0!</v>
      </c>
      <c r="F5" s="8" t="s">
        <v>52</v>
      </c>
      <c r="G5" s="8"/>
      <c r="H5" s="8"/>
      <c r="I5" s="8"/>
      <c r="J5" s="8" t="str">
        <f>IF(ABS(G5-H5-I5)&gt;ABS(G5+H5-I5),$L$4,$L$3)</f>
        <v>減極性</v>
      </c>
      <c r="N5" s="8"/>
      <c r="O5" s="8"/>
      <c r="P5" s="8">
        <f>N5*O5</f>
        <v>0</v>
      </c>
      <c r="Q5" s="8"/>
      <c r="R5" s="8" t="e">
        <f>100*Q5/P5</f>
        <v>#DIV/0!</v>
      </c>
      <c r="U5" s="8"/>
      <c r="V5" s="8"/>
      <c r="W5" s="8">
        <f t="shared" ref="W5:W9" si="1">U5*V5</f>
        <v>0</v>
      </c>
      <c r="X5" s="8" t="e">
        <f t="shared" si="0"/>
        <v>#DIV/0!</v>
      </c>
      <c r="Y5" s="8"/>
      <c r="Z5" s="8" t="e">
        <f t="shared" ref="Z5:Z9" si="2">V5/U5</f>
        <v>#DIV/0!</v>
      </c>
      <c r="AA5" s="8" t="e">
        <f t="shared" ref="AA5:AA9" si="3">100*Y5/W5</f>
        <v>#DIV/0!</v>
      </c>
      <c r="AI5" s="8">
        <v>0</v>
      </c>
      <c r="AJ5" s="8"/>
      <c r="AK5" s="8"/>
      <c r="AL5" s="8"/>
      <c r="AM5" s="8"/>
      <c r="AN5" s="8"/>
      <c r="AO5" s="8"/>
      <c r="AP5" s="8"/>
      <c r="AQ5" s="8"/>
      <c r="AR5" s="8"/>
      <c r="AS5" s="8"/>
    </row>
    <row r="6" spans="1:45">
      <c r="F6" s="8" t="s">
        <v>54</v>
      </c>
      <c r="G6" s="8"/>
      <c r="H6" s="8"/>
      <c r="I6" s="8"/>
      <c r="J6" s="8" t="str">
        <f>IF(ABS(G6-H6-I6)&gt;ABS(G6+H6-I6),$L$4,$L$3)</f>
        <v>減極性</v>
      </c>
      <c r="N6" s="8"/>
      <c r="O6" s="8"/>
      <c r="P6" s="8">
        <f t="shared" ref="P6:P9" si="4">N6*O6</f>
        <v>0</v>
      </c>
      <c r="Q6" s="8"/>
      <c r="R6" s="8" t="e">
        <f t="shared" ref="R6:R9" si="5">100*Q6/P6</f>
        <v>#DIV/0!</v>
      </c>
      <c r="U6" s="8"/>
      <c r="V6" s="8"/>
      <c r="W6" s="8">
        <f t="shared" si="1"/>
        <v>0</v>
      </c>
      <c r="X6" s="8" t="e">
        <f t="shared" si="0"/>
        <v>#DIV/0!</v>
      </c>
      <c r="Y6" s="8"/>
      <c r="Z6" s="8" t="e">
        <f t="shared" si="2"/>
        <v>#DIV/0!</v>
      </c>
      <c r="AA6" s="8" t="e">
        <f t="shared" si="3"/>
        <v>#DIV/0!</v>
      </c>
      <c r="AI6" s="8">
        <v>10</v>
      </c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>
      <c r="N7" s="8"/>
      <c r="O7" s="8"/>
      <c r="P7" s="8">
        <f t="shared" si="4"/>
        <v>0</v>
      </c>
      <c r="Q7" s="8"/>
      <c r="R7" s="8" t="e">
        <f t="shared" si="5"/>
        <v>#DIV/0!</v>
      </c>
      <c r="U7" s="8"/>
      <c r="V7" s="8"/>
      <c r="W7" s="8">
        <f t="shared" si="1"/>
        <v>0</v>
      </c>
      <c r="X7" s="8" t="e">
        <f t="shared" si="0"/>
        <v>#DIV/0!</v>
      </c>
      <c r="Y7" s="8"/>
      <c r="Z7" s="8" t="e">
        <f t="shared" si="2"/>
        <v>#DIV/0!</v>
      </c>
      <c r="AA7" s="8" t="e">
        <f t="shared" si="3"/>
        <v>#DIV/0!</v>
      </c>
      <c r="AI7" s="8">
        <v>20</v>
      </c>
      <c r="AJ7" s="8"/>
      <c r="AK7" s="8"/>
      <c r="AL7" s="8"/>
      <c r="AM7" s="8"/>
      <c r="AN7" s="8"/>
      <c r="AO7" s="8"/>
      <c r="AP7" s="8"/>
      <c r="AQ7" s="8"/>
      <c r="AR7" s="8"/>
      <c r="AS7" s="8"/>
    </row>
    <row r="8" spans="1:45">
      <c r="N8" s="8"/>
      <c r="O8" s="8"/>
      <c r="P8" s="8">
        <f t="shared" si="4"/>
        <v>0</v>
      </c>
      <c r="Q8" s="8"/>
      <c r="R8" s="8" t="e">
        <f t="shared" si="5"/>
        <v>#DIV/0!</v>
      </c>
      <c r="U8" s="8"/>
      <c r="V8" s="8"/>
      <c r="W8" s="8">
        <f t="shared" si="1"/>
        <v>0</v>
      </c>
      <c r="X8" s="8" t="e">
        <f t="shared" si="0"/>
        <v>#DIV/0!</v>
      </c>
      <c r="Y8" s="8"/>
      <c r="Z8" s="8" t="e">
        <f t="shared" si="2"/>
        <v>#DIV/0!</v>
      </c>
      <c r="AA8" s="8" t="e">
        <f t="shared" si="3"/>
        <v>#DIV/0!</v>
      </c>
      <c r="AI8" s="8">
        <v>30</v>
      </c>
      <c r="AJ8" s="8"/>
      <c r="AK8" s="8"/>
      <c r="AL8" s="8"/>
      <c r="AM8" s="8"/>
      <c r="AN8" s="8"/>
      <c r="AO8" s="8"/>
      <c r="AP8" s="8"/>
      <c r="AQ8" s="8"/>
      <c r="AR8" s="8"/>
      <c r="AS8" s="8"/>
    </row>
    <row r="9" spans="1:45">
      <c r="N9" s="8"/>
      <c r="O9" s="8"/>
      <c r="P9" s="8">
        <f t="shared" si="4"/>
        <v>0</v>
      </c>
      <c r="Q9" s="8"/>
      <c r="R9" s="8" t="e">
        <f t="shared" si="5"/>
        <v>#DIV/0!</v>
      </c>
      <c r="U9" s="8"/>
      <c r="V9" s="8"/>
      <c r="W9" s="8">
        <f t="shared" si="1"/>
        <v>0</v>
      </c>
      <c r="X9" s="8" t="e">
        <f t="shared" si="0"/>
        <v>#DIV/0!</v>
      </c>
      <c r="Y9" s="8"/>
      <c r="Z9" s="8" t="e">
        <f t="shared" si="2"/>
        <v>#DIV/0!</v>
      </c>
      <c r="AA9" s="8" t="e">
        <f t="shared" si="3"/>
        <v>#DIV/0!</v>
      </c>
      <c r="AI9" s="8">
        <v>40</v>
      </c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>
      <c r="N10" s="10"/>
      <c r="V10" s="10"/>
      <c r="Y10" s="10"/>
      <c r="AI10" s="8">
        <v>50</v>
      </c>
      <c r="AJ10" s="8"/>
      <c r="AK10" s="8"/>
      <c r="AL10" s="8"/>
      <c r="AM10" s="8"/>
      <c r="AN10" s="8"/>
      <c r="AO10" s="8"/>
      <c r="AP10" s="8"/>
      <c r="AQ10" s="8"/>
      <c r="AR10" s="8"/>
      <c r="AS10" s="8"/>
    </row>
    <row r="11" spans="1:45">
      <c r="N11" s="8" t="s">
        <v>55</v>
      </c>
      <c r="O11" s="8" t="s">
        <v>33</v>
      </c>
      <c r="U11" s="8" t="s">
        <v>55</v>
      </c>
      <c r="V11" s="8" t="s">
        <v>33</v>
      </c>
    </row>
    <row r="12" spans="1:45">
      <c r="N12" s="8"/>
      <c r="O12" s="8" t="e">
        <f>100*ABS((R5-N12)/R5)</f>
        <v>#DIV/0!</v>
      </c>
      <c r="U12" s="8"/>
      <c r="V12" s="8" t="e">
        <f>100*ABS((AA4-U12)/AA4)</f>
        <v>#DIV/0!</v>
      </c>
    </row>
    <row r="13" spans="1:45">
      <c r="N13" s="8"/>
      <c r="O13" s="8" t="e">
        <f t="shared" ref="O13:O16" si="6">100*ABS((R6-N13)/R6)</f>
        <v>#DIV/0!</v>
      </c>
      <c r="U13" s="8"/>
      <c r="V13" s="8" t="e">
        <f t="shared" ref="V13:V17" si="7">100*ABS((AA5-U13)/AA5)</f>
        <v>#DIV/0!</v>
      </c>
    </row>
    <row r="14" spans="1:45">
      <c r="N14" s="8"/>
      <c r="O14" s="8" t="e">
        <f t="shared" si="6"/>
        <v>#DIV/0!</v>
      </c>
      <c r="U14" s="8"/>
      <c r="V14" s="8" t="e">
        <f t="shared" si="7"/>
        <v>#DIV/0!</v>
      </c>
    </row>
    <row r="15" spans="1:45">
      <c r="N15" s="8"/>
      <c r="O15" s="8" t="e">
        <f t="shared" si="6"/>
        <v>#DIV/0!</v>
      </c>
      <c r="U15" s="8"/>
      <c r="V15" s="8" t="e">
        <f t="shared" si="7"/>
        <v>#DIV/0!</v>
      </c>
    </row>
    <row r="16" spans="1:45">
      <c r="N16" s="8"/>
      <c r="O16" s="8" t="e">
        <f t="shared" si="6"/>
        <v>#DIV/0!</v>
      </c>
      <c r="U16" s="8"/>
      <c r="V16" s="8" t="e">
        <f t="shared" si="7"/>
        <v>#DIV/0!</v>
      </c>
    </row>
    <row r="17" spans="21:22">
      <c r="U17" s="8"/>
      <c r="V17" s="8" t="e">
        <f t="shared" si="7"/>
        <v>#DIV/0!</v>
      </c>
    </row>
  </sheetData>
  <mergeCells count="2">
    <mergeCell ref="AD2:AE2"/>
    <mergeCell ref="AF2:AG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周東いる班</vt:lpstr>
      <vt:lpstr>周東いない班</vt:lpstr>
      <vt:lpstr>コピーもと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周東　玖龍</dc:creator>
  <cp:keywords/>
  <dc:description/>
  <cp:lastModifiedBy>谷口　天眞</cp:lastModifiedBy>
  <cp:revision/>
  <dcterms:created xsi:type="dcterms:W3CDTF">2025-11-29T05:22:19Z</dcterms:created>
  <dcterms:modified xsi:type="dcterms:W3CDTF">2025-12-05T05:21:44Z</dcterms:modified>
  <cp:category/>
  <cp:contentStatus/>
</cp:coreProperties>
</file>