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enzooo/Desktop/サンプル/"/>
    </mc:Choice>
  </mc:AlternateContent>
  <xr:revisionPtr revIDLastSave="0" documentId="8_{42286F7C-247B-E646-8C96-DA9E8404942B}" xr6:coauthVersionLast="47" xr6:coauthVersionMax="47" xr10:uidLastSave="{00000000-0000-0000-0000-000000000000}"/>
  <bookViews>
    <workbookView xWindow="-11740" yWindow="620" windowWidth="11740" windowHeight="16060" activeTab="1" xr2:uid="{B805C6D8-6258-6647-8E25-8B4E8E7C0A17}"/>
  </bookViews>
  <sheets>
    <sheet name="a班" sheetId="4" r:id="rId1"/>
    <sheet name="b班" sheetId="3" r:id="rId2"/>
    <sheet name="コピー用" sheetId="1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5" i="1" l="1"/>
  <c r="AJ16" i="1"/>
  <c r="AJ14" i="1"/>
  <c r="AJ12" i="1"/>
  <c r="AJ13" i="1"/>
  <c r="AJ11" i="1"/>
  <c r="AJ9" i="1"/>
  <c r="AJ10" i="1"/>
  <c r="AJ8" i="1"/>
  <c r="AJ6" i="1"/>
  <c r="AJ7" i="1"/>
  <c r="AJ5" i="1"/>
  <c r="AJ10" i="3"/>
  <c r="AJ9" i="3"/>
  <c r="AJ7" i="3"/>
  <c r="AJ6" i="3"/>
  <c r="AJ5" i="3"/>
  <c r="AJ15" i="4"/>
  <c r="AJ16" i="4"/>
  <c r="AJ14" i="4"/>
  <c r="AJ12" i="4"/>
  <c r="AJ13" i="4"/>
  <c r="AJ11" i="4"/>
  <c r="AJ9" i="4"/>
  <c r="AJ10" i="4"/>
  <c r="AJ8" i="4"/>
  <c r="AJ6" i="4"/>
  <c r="AJ7" i="4"/>
  <c r="AJ5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I16" i="3"/>
  <c r="AH16" i="3"/>
  <c r="AJ16" i="3" s="1"/>
  <c r="AI15" i="3"/>
  <c r="AH15" i="3"/>
  <c r="AI14" i="3"/>
  <c r="AH14" i="3"/>
  <c r="AI13" i="3"/>
  <c r="AH13" i="3"/>
  <c r="AI12" i="3"/>
  <c r="AH12" i="3"/>
  <c r="AI11" i="3"/>
  <c r="AH11" i="3"/>
  <c r="AI10" i="3"/>
  <c r="AH10" i="3"/>
  <c r="AI9" i="3"/>
  <c r="AH9" i="3"/>
  <c r="AI8" i="3"/>
  <c r="AJ8" i="3" s="1"/>
  <c r="AH8" i="3"/>
  <c r="AI7" i="3"/>
  <c r="AH7" i="3"/>
  <c r="AI6" i="3"/>
  <c r="AH6" i="3"/>
  <c r="AI5" i="3"/>
  <c r="AH5" i="3"/>
  <c r="AI15" i="1"/>
  <c r="AI16" i="1"/>
  <c r="AI14" i="1"/>
  <c r="AH15" i="1"/>
  <c r="AH16" i="1"/>
  <c r="AH14" i="1"/>
  <c r="AI12" i="1"/>
  <c r="AI13" i="1"/>
  <c r="AI11" i="1"/>
  <c r="AH12" i="1"/>
  <c r="AH13" i="1"/>
  <c r="AH11" i="1"/>
  <c r="AI9" i="1"/>
  <c r="AI10" i="1"/>
  <c r="AI8" i="1"/>
  <c r="AH9" i="1"/>
  <c r="AH10" i="1"/>
  <c r="AH8" i="1"/>
  <c r="AI6" i="1"/>
  <c r="AI7" i="1"/>
  <c r="AI5" i="1"/>
  <c r="AH7" i="1"/>
  <c r="AH6" i="1"/>
  <c r="AH5" i="1"/>
  <c r="AJ12" i="3" l="1"/>
  <c r="AJ13" i="3"/>
  <c r="AJ11" i="3"/>
  <c r="AJ15" i="3"/>
  <c r="AJ14" i="3"/>
  <c r="AL6" i="3"/>
  <c r="AL6" i="1"/>
  <c r="AM6" i="1"/>
  <c r="AN6" i="1"/>
  <c r="AO6" i="1"/>
  <c r="AO6" i="3" l="1"/>
  <c r="AN6" i="3"/>
  <c r="AM6" i="3"/>
  <c r="AO6" i="4"/>
  <c r="AN6" i="4"/>
  <c r="AM6" i="4"/>
  <c r="AL6" i="4"/>
</calcChain>
</file>

<file path=xl/sharedStrings.xml><?xml version="1.0" encoding="utf-8"?>
<sst xmlns="http://schemas.openxmlformats.org/spreadsheetml/2006/main" count="190" uniqueCount="31">
  <si>
    <t>実験4-1</t>
    <rPh sb="0" eb="2">
      <t>ジッケn</t>
    </rPh>
    <phoneticPr fontId="1"/>
  </si>
  <si>
    <t>実験4-2</t>
    <rPh sb="0" eb="2">
      <t>ジッケn</t>
    </rPh>
    <phoneticPr fontId="1"/>
  </si>
  <si>
    <t>実験4-3</t>
    <rPh sb="0" eb="2">
      <t>ジッケn</t>
    </rPh>
    <phoneticPr fontId="1"/>
  </si>
  <si>
    <t>青のLED</t>
    <rPh sb="0" eb="1">
      <t>アオ</t>
    </rPh>
    <phoneticPr fontId="1"/>
  </si>
  <si>
    <t>緑のLED</t>
    <rPh sb="0" eb="1">
      <t>ミドリ</t>
    </rPh>
    <phoneticPr fontId="1"/>
  </si>
  <si>
    <t>赤色のLED</t>
    <rPh sb="0" eb="1">
      <t xml:space="preserve">アカ </t>
    </rPh>
    <rPh sb="1" eb="2">
      <t>キイロ</t>
    </rPh>
    <phoneticPr fontId="1"/>
  </si>
  <si>
    <t>白のLED</t>
    <rPh sb="0" eb="1">
      <t xml:space="preserve">シロ </t>
    </rPh>
    <phoneticPr fontId="1"/>
  </si>
  <si>
    <t>赤のLED</t>
    <rPh sb="0" eb="1">
      <t>アカ</t>
    </rPh>
    <phoneticPr fontId="1"/>
  </si>
  <si>
    <t>白のLED</t>
    <rPh sb="0" eb="1">
      <t>シロ</t>
    </rPh>
    <phoneticPr fontId="1"/>
  </si>
  <si>
    <t>LED</t>
    <phoneticPr fontId="1"/>
  </si>
  <si>
    <t>求めたい高さh[mm]</t>
    <rPh sb="0" eb="1">
      <t>モトメ</t>
    </rPh>
    <rPh sb="4" eb="5">
      <t>タカサ</t>
    </rPh>
    <phoneticPr fontId="1"/>
  </si>
  <si>
    <t>光の半径r[mm]</t>
    <rPh sb="0" eb="1">
      <t>ヒカリ</t>
    </rPh>
    <rPh sb="2" eb="4">
      <t>ハンケイ</t>
    </rPh>
    <phoneticPr fontId="1"/>
  </si>
  <si>
    <t>角度θ[°]</t>
    <rPh sb="0" eb="2">
      <t>カクド</t>
    </rPh>
    <phoneticPr fontId="1"/>
  </si>
  <si>
    <t>θの平均[°]</t>
    <rPh sb="2" eb="4">
      <t>ヘイキn</t>
    </rPh>
    <phoneticPr fontId="1"/>
  </si>
  <si>
    <t>それぞれの色の波長と</t>
    <rPh sb="5" eb="6">
      <t>イロ</t>
    </rPh>
    <rPh sb="7" eb="9">
      <t>ハチョウ</t>
    </rPh>
    <phoneticPr fontId="1"/>
  </si>
  <si>
    <t>電圧[V]</t>
    <rPh sb="0" eb="2">
      <t>デンアテゥ</t>
    </rPh>
    <phoneticPr fontId="1"/>
  </si>
  <si>
    <t>電流[mA]</t>
    <rPh sb="0" eb="2">
      <t>デンリュウ</t>
    </rPh>
    <phoneticPr fontId="1"/>
  </si>
  <si>
    <t>光出力[µW]</t>
    <rPh sb="0" eb="1">
      <t>ヒカリ</t>
    </rPh>
    <rPh sb="1" eb="3">
      <t>シュツリョク</t>
    </rPh>
    <phoneticPr fontId="1"/>
  </si>
  <si>
    <t>LEDの高さd[mm]</t>
    <rPh sb="4" eb="5">
      <t>タカサ</t>
    </rPh>
    <phoneticPr fontId="1"/>
  </si>
  <si>
    <t>紙の高さd+h[mm]</t>
    <rPh sb="0" eb="1">
      <t xml:space="preserve">カミ </t>
    </rPh>
    <rPh sb="2" eb="3">
      <t>タカサ</t>
    </rPh>
    <phoneticPr fontId="1"/>
  </si>
  <si>
    <t>直径2r[mm]</t>
    <rPh sb="0" eb="2">
      <t>チョッケイ</t>
    </rPh>
    <phoneticPr fontId="1"/>
  </si>
  <si>
    <t>青</t>
    <rPh sb="0" eb="1">
      <t>アオ</t>
    </rPh>
    <phoneticPr fontId="1"/>
  </si>
  <si>
    <t>→</t>
    <phoneticPr fontId="1"/>
  </si>
  <si>
    <t>緑</t>
    <rPh sb="0" eb="1">
      <t>ミドリ</t>
    </rPh>
    <phoneticPr fontId="1"/>
  </si>
  <si>
    <t>赤</t>
    <rPh sb="0" eb="1">
      <t>アカ</t>
    </rPh>
    <phoneticPr fontId="1"/>
  </si>
  <si>
    <t>白</t>
    <rPh sb="0" eb="1">
      <t>シロ</t>
    </rPh>
    <phoneticPr fontId="1"/>
  </si>
  <si>
    <t>色</t>
    <rPh sb="0" eb="1">
      <t>イロ</t>
    </rPh>
    <phoneticPr fontId="1"/>
  </si>
  <si>
    <t>立ち上がり電圧</t>
    <rPh sb="0" eb="1">
      <t>タチアガリ</t>
    </rPh>
    <phoneticPr fontId="1"/>
  </si>
  <si>
    <t>発光波長</t>
    <rPh sb="0" eb="4">
      <t>ハッコウハ</t>
    </rPh>
    <phoneticPr fontId="1"/>
  </si>
  <si>
    <t>赤色のLED</t>
    <rPh sb="0" eb="2">
      <t>アカイロ</t>
    </rPh>
    <phoneticPr fontId="1"/>
  </si>
  <si>
    <t>色を合わせる</t>
    <rPh sb="0" eb="1">
      <t>イロ</t>
    </rPh>
    <rPh sb="2" eb="3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</si>
</sst>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5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2" fontId="2" fillId="0" borderId="37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85572742985844"/>
          <c:y val="5.0890807706697003E-2"/>
          <c:w val="0.82331389563000867"/>
          <c:h val="0.74676444996005931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marker>
            <c:symbol val="square"/>
            <c:size val="4"/>
            <c:spPr>
              <a:solidFill>
                <a:srgbClr val="00B0F0"/>
              </a:solidFill>
              <a:ln>
                <a:solidFill>
                  <a:srgbClr val="00B0F0"/>
                </a:solidFill>
                <a:prstDash val="solid"/>
              </a:ln>
            </c:spPr>
          </c:marker>
          <c:xVal>
            <c:numRef>
              <c:f>a班!$A$6:$A$32</c:f>
              <c:numCache>
                <c:formatCode>0.00</c:formatCode>
                <c:ptCount val="27"/>
                <c:pt idx="0">
                  <c:v>0</c:v>
                </c:pt>
                <c:pt idx="1">
                  <c:v>0.51</c:v>
                </c:pt>
                <c:pt idx="2">
                  <c:v>1.02</c:v>
                </c:pt>
                <c:pt idx="3">
                  <c:v>1.5</c:v>
                </c:pt>
                <c:pt idx="4">
                  <c:v>2</c:v>
                </c:pt>
                <c:pt idx="5">
                  <c:v>2.09</c:v>
                </c:pt>
                <c:pt idx="6">
                  <c:v>2.1880000000000002</c:v>
                </c:pt>
                <c:pt idx="7">
                  <c:v>2.306</c:v>
                </c:pt>
                <c:pt idx="8">
                  <c:v>2.3929999999999998</c:v>
                </c:pt>
                <c:pt idx="9">
                  <c:v>2.4750000000000001</c:v>
                </c:pt>
                <c:pt idx="10">
                  <c:v>2.5289999999999999</c:v>
                </c:pt>
                <c:pt idx="11">
                  <c:v>2.5649999999999999</c:v>
                </c:pt>
                <c:pt idx="12">
                  <c:v>2.6019999999999999</c:v>
                </c:pt>
                <c:pt idx="13">
                  <c:v>2.6269999999999998</c:v>
                </c:pt>
                <c:pt idx="14">
                  <c:v>2.6579999999999999</c:v>
                </c:pt>
                <c:pt idx="15">
                  <c:v>2.6819999999999999</c:v>
                </c:pt>
                <c:pt idx="16">
                  <c:v>2.7050000000000001</c:v>
                </c:pt>
                <c:pt idx="17">
                  <c:v>2.7229999999999999</c:v>
                </c:pt>
                <c:pt idx="18">
                  <c:v>2.7389999999999999</c:v>
                </c:pt>
                <c:pt idx="19">
                  <c:v>2.7629999999999999</c:v>
                </c:pt>
                <c:pt idx="20">
                  <c:v>2.794</c:v>
                </c:pt>
                <c:pt idx="21">
                  <c:v>2.8279999999999998</c:v>
                </c:pt>
                <c:pt idx="22">
                  <c:v>2.843</c:v>
                </c:pt>
                <c:pt idx="23">
                  <c:v>2.8540000000000001</c:v>
                </c:pt>
                <c:pt idx="24">
                  <c:v>2.871</c:v>
                </c:pt>
                <c:pt idx="25">
                  <c:v>2.8839999999999999</c:v>
                </c:pt>
                <c:pt idx="26">
                  <c:v>2.8980000000000001</c:v>
                </c:pt>
              </c:numCache>
            </c:numRef>
          </c:xVal>
          <c:yVal>
            <c:numRef>
              <c:f>a班!$B$6:$B$32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0.2</c:v>
                </c:pt>
                <c:pt idx="10">
                  <c:v>0.67</c:v>
                </c:pt>
                <c:pt idx="11">
                  <c:v>1.18</c:v>
                </c:pt>
                <c:pt idx="12">
                  <c:v>1.9</c:v>
                </c:pt>
                <c:pt idx="13">
                  <c:v>2.48</c:v>
                </c:pt>
                <c:pt idx="14">
                  <c:v>3.27</c:v>
                </c:pt>
                <c:pt idx="15">
                  <c:v>3.98</c:v>
                </c:pt>
                <c:pt idx="16">
                  <c:v>4.72</c:v>
                </c:pt>
                <c:pt idx="17">
                  <c:v>5.35</c:v>
                </c:pt>
                <c:pt idx="18">
                  <c:v>5.93</c:v>
                </c:pt>
                <c:pt idx="19">
                  <c:v>6.88</c:v>
                </c:pt>
                <c:pt idx="20">
                  <c:v>8.31</c:v>
                </c:pt>
                <c:pt idx="21">
                  <c:v>9.84</c:v>
                </c:pt>
                <c:pt idx="22">
                  <c:v>10.68</c:v>
                </c:pt>
                <c:pt idx="23">
                  <c:v>11.39</c:v>
                </c:pt>
                <c:pt idx="24">
                  <c:v>12.31</c:v>
                </c:pt>
                <c:pt idx="25">
                  <c:v>13.05</c:v>
                </c:pt>
                <c:pt idx="26">
                  <c:v>13.91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9-C747-AF06-0AF02B5A9018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a班!$C$6:$C$32</c:f>
              <c:numCache>
                <c:formatCode>0.00</c:formatCode>
                <c:ptCount val="27"/>
                <c:pt idx="0">
                  <c:v>0</c:v>
                </c:pt>
                <c:pt idx="1">
                  <c:v>0.51</c:v>
                </c:pt>
                <c:pt idx="2">
                  <c:v>1.0229999999999999</c:v>
                </c:pt>
                <c:pt idx="3">
                  <c:v>1.502</c:v>
                </c:pt>
                <c:pt idx="4">
                  <c:v>2.0089999999999999</c:v>
                </c:pt>
                <c:pt idx="5">
                  <c:v>2.0979999999999999</c:v>
                </c:pt>
                <c:pt idx="6">
                  <c:v>2.202</c:v>
                </c:pt>
                <c:pt idx="7">
                  <c:v>2.2810000000000001</c:v>
                </c:pt>
                <c:pt idx="8">
                  <c:v>2.39</c:v>
                </c:pt>
                <c:pt idx="9">
                  <c:v>2.5009999999999999</c:v>
                </c:pt>
                <c:pt idx="10">
                  <c:v>2.5779999999999998</c:v>
                </c:pt>
                <c:pt idx="11">
                  <c:v>2.645</c:v>
                </c:pt>
                <c:pt idx="12">
                  <c:v>2.7149999999999999</c:v>
                </c:pt>
                <c:pt idx="13">
                  <c:v>2.7629999999999999</c:v>
                </c:pt>
                <c:pt idx="14">
                  <c:v>2.7989999999999999</c:v>
                </c:pt>
                <c:pt idx="15">
                  <c:v>2.827</c:v>
                </c:pt>
                <c:pt idx="16">
                  <c:v>2.86</c:v>
                </c:pt>
                <c:pt idx="17">
                  <c:v>2.8839999999999999</c:v>
                </c:pt>
                <c:pt idx="18">
                  <c:v>2.9079999999999999</c:v>
                </c:pt>
                <c:pt idx="19">
                  <c:v>2.9260000000000002</c:v>
                </c:pt>
                <c:pt idx="20">
                  <c:v>2.944</c:v>
                </c:pt>
                <c:pt idx="21">
                  <c:v>2.964</c:v>
                </c:pt>
                <c:pt idx="22">
                  <c:v>2.9830000000000001</c:v>
                </c:pt>
                <c:pt idx="23">
                  <c:v>3.0019999999999998</c:v>
                </c:pt>
                <c:pt idx="24">
                  <c:v>3.0169999999999999</c:v>
                </c:pt>
                <c:pt idx="25">
                  <c:v>3.0289999999999999</c:v>
                </c:pt>
                <c:pt idx="26">
                  <c:v>3.0459999999999998</c:v>
                </c:pt>
              </c:numCache>
            </c:numRef>
          </c:xVal>
          <c:yVal>
            <c:numRef>
              <c:f>a班!$D$6:$D$32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0.05</c:v>
                </c:pt>
                <c:pt idx="9">
                  <c:v>0.12</c:v>
                </c:pt>
                <c:pt idx="10">
                  <c:v>0.23</c:v>
                </c:pt>
                <c:pt idx="11">
                  <c:v>0.43</c:v>
                </c:pt>
                <c:pt idx="12">
                  <c:v>0.8</c:v>
                </c:pt>
                <c:pt idx="13">
                  <c:v>1.41</c:v>
                </c:pt>
                <c:pt idx="14">
                  <c:v>2.0099999999999998</c:v>
                </c:pt>
                <c:pt idx="15">
                  <c:v>2.59</c:v>
                </c:pt>
                <c:pt idx="16">
                  <c:v>3.38</c:v>
                </c:pt>
                <c:pt idx="17">
                  <c:v>4.0599999999999996</c:v>
                </c:pt>
                <c:pt idx="18">
                  <c:v>4.8099999999999996</c:v>
                </c:pt>
                <c:pt idx="19">
                  <c:v>5.48</c:v>
                </c:pt>
                <c:pt idx="20">
                  <c:v>6.16</c:v>
                </c:pt>
                <c:pt idx="21">
                  <c:v>6.93</c:v>
                </c:pt>
                <c:pt idx="22">
                  <c:v>7.74</c:v>
                </c:pt>
                <c:pt idx="23">
                  <c:v>8.59</c:v>
                </c:pt>
                <c:pt idx="24">
                  <c:v>9.2899999999999991</c:v>
                </c:pt>
                <c:pt idx="25">
                  <c:v>10</c:v>
                </c:pt>
                <c:pt idx="26">
                  <c:v>10.88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9-C747-AF06-0AF02B5A9018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a班!$E$6:$E$32</c:f>
              <c:numCache>
                <c:formatCode>0.00</c:formatCode>
                <c:ptCount val="27"/>
                <c:pt idx="0">
                  <c:v>0</c:v>
                </c:pt>
                <c:pt idx="1">
                  <c:v>0.51</c:v>
                </c:pt>
                <c:pt idx="2">
                  <c:v>1.0229999999999999</c:v>
                </c:pt>
                <c:pt idx="3">
                  <c:v>1.502</c:v>
                </c:pt>
                <c:pt idx="4">
                  <c:v>1.611</c:v>
                </c:pt>
                <c:pt idx="5">
                  <c:v>1.6970000000000001</c:v>
                </c:pt>
                <c:pt idx="6">
                  <c:v>1.7529999999999999</c:v>
                </c:pt>
                <c:pt idx="7">
                  <c:v>1.796</c:v>
                </c:pt>
                <c:pt idx="8">
                  <c:v>1.82</c:v>
                </c:pt>
                <c:pt idx="9">
                  <c:v>1.84</c:v>
                </c:pt>
                <c:pt idx="10">
                  <c:v>1.863</c:v>
                </c:pt>
                <c:pt idx="11">
                  <c:v>1.8819999999999999</c:v>
                </c:pt>
                <c:pt idx="12">
                  <c:v>1.899</c:v>
                </c:pt>
                <c:pt idx="13">
                  <c:v>1.9119999999999999</c:v>
                </c:pt>
                <c:pt idx="14">
                  <c:v>1.925</c:v>
                </c:pt>
                <c:pt idx="15">
                  <c:v>1.9410000000000001</c:v>
                </c:pt>
                <c:pt idx="16">
                  <c:v>1.952</c:v>
                </c:pt>
                <c:pt idx="17">
                  <c:v>1.9670000000000001</c:v>
                </c:pt>
                <c:pt idx="18">
                  <c:v>1.98</c:v>
                </c:pt>
                <c:pt idx="19">
                  <c:v>1.9890000000000001</c:v>
                </c:pt>
                <c:pt idx="20">
                  <c:v>2</c:v>
                </c:pt>
                <c:pt idx="21">
                  <c:v>2.0089999999999999</c:v>
                </c:pt>
                <c:pt idx="22">
                  <c:v>2.0209999999999999</c:v>
                </c:pt>
                <c:pt idx="23">
                  <c:v>2.0299999999999998</c:v>
                </c:pt>
                <c:pt idx="24">
                  <c:v>2.0409999999999999</c:v>
                </c:pt>
                <c:pt idx="25">
                  <c:v>2.0470000000000002</c:v>
                </c:pt>
                <c:pt idx="26">
                  <c:v>2.0579999999999998</c:v>
                </c:pt>
              </c:numCache>
            </c:numRef>
          </c:xVal>
          <c:yVal>
            <c:numRef>
              <c:f>a班!$F$6:$F$32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0.13</c:v>
                </c:pt>
                <c:pt idx="6">
                  <c:v>0.52</c:v>
                </c:pt>
                <c:pt idx="7">
                  <c:v>1.1399999999999999</c:v>
                </c:pt>
                <c:pt idx="8">
                  <c:v>1.74</c:v>
                </c:pt>
                <c:pt idx="9">
                  <c:v>2.37</c:v>
                </c:pt>
                <c:pt idx="10">
                  <c:v>3.25</c:v>
                </c:pt>
                <c:pt idx="11">
                  <c:v>3.95</c:v>
                </c:pt>
                <c:pt idx="12">
                  <c:v>4.83</c:v>
                </c:pt>
                <c:pt idx="13">
                  <c:v>5.53</c:v>
                </c:pt>
                <c:pt idx="14">
                  <c:v>6.23</c:v>
                </c:pt>
                <c:pt idx="15">
                  <c:v>7.16</c:v>
                </c:pt>
                <c:pt idx="16">
                  <c:v>7.89</c:v>
                </c:pt>
                <c:pt idx="17">
                  <c:v>8.83</c:v>
                </c:pt>
                <c:pt idx="18">
                  <c:v>9.7799999999999994</c:v>
                </c:pt>
                <c:pt idx="19">
                  <c:v>10.42</c:v>
                </c:pt>
                <c:pt idx="20">
                  <c:v>11.23</c:v>
                </c:pt>
                <c:pt idx="21">
                  <c:v>11.98</c:v>
                </c:pt>
                <c:pt idx="22">
                  <c:v>12.87</c:v>
                </c:pt>
                <c:pt idx="23">
                  <c:v>13.66</c:v>
                </c:pt>
                <c:pt idx="24">
                  <c:v>14.59</c:v>
                </c:pt>
                <c:pt idx="25">
                  <c:v>15.18</c:v>
                </c:pt>
                <c:pt idx="26">
                  <c:v>16.11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A9-C747-AF06-0AF02B5A9018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8E8E8"/>
              </a:solidFill>
              <a:ln>
                <a:solidFill>
                  <a:srgbClr val="E8E8E8"/>
                </a:solidFill>
                <a:prstDash val="solid"/>
              </a:ln>
              <a:effectLst/>
            </c:spPr>
          </c:marker>
          <c:xVal>
            <c:numRef>
              <c:f>a班!$G$6:$G$32</c:f>
              <c:numCache>
                <c:formatCode>0.00</c:formatCode>
                <c:ptCount val="27"/>
                <c:pt idx="0">
                  <c:v>0</c:v>
                </c:pt>
                <c:pt idx="1">
                  <c:v>0.51</c:v>
                </c:pt>
                <c:pt idx="2">
                  <c:v>1.0229999999999999</c:v>
                </c:pt>
                <c:pt idx="3">
                  <c:v>1.5029999999999999</c:v>
                </c:pt>
                <c:pt idx="4">
                  <c:v>2.069</c:v>
                </c:pt>
                <c:pt idx="5">
                  <c:v>2.258</c:v>
                </c:pt>
                <c:pt idx="6">
                  <c:v>2.4239999999999999</c:v>
                </c:pt>
                <c:pt idx="7">
                  <c:v>2.5049999999999999</c:v>
                </c:pt>
                <c:pt idx="8">
                  <c:v>2.57</c:v>
                </c:pt>
                <c:pt idx="9">
                  <c:v>2.63</c:v>
                </c:pt>
                <c:pt idx="10">
                  <c:v>2.6669999999999998</c:v>
                </c:pt>
                <c:pt idx="11">
                  <c:v>2.706</c:v>
                </c:pt>
                <c:pt idx="12">
                  <c:v>2.74</c:v>
                </c:pt>
                <c:pt idx="13">
                  <c:v>2.7559999999999998</c:v>
                </c:pt>
                <c:pt idx="14">
                  <c:v>2.7839999999999998</c:v>
                </c:pt>
                <c:pt idx="15">
                  <c:v>2.8029999999999999</c:v>
                </c:pt>
                <c:pt idx="16">
                  <c:v>2.827</c:v>
                </c:pt>
                <c:pt idx="17">
                  <c:v>2.8460000000000001</c:v>
                </c:pt>
                <c:pt idx="18">
                  <c:v>2.86</c:v>
                </c:pt>
                <c:pt idx="19">
                  <c:v>2.879</c:v>
                </c:pt>
                <c:pt idx="20">
                  <c:v>2.8980000000000001</c:v>
                </c:pt>
                <c:pt idx="21">
                  <c:v>2.9119999999999999</c:v>
                </c:pt>
                <c:pt idx="22">
                  <c:v>2.9279999999999999</c:v>
                </c:pt>
                <c:pt idx="23">
                  <c:v>2.94</c:v>
                </c:pt>
                <c:pt idx="24">
                  <c:v>2.952</c:v>
                </c:pt>
                <c:pt idx="25">
                  <c:v>2.9670000000000001</c:v>
                </c:pt>
                <c:pt idx="26">
                  <c:v>2.9809999999999999</c:v>
                </c:pt>
              </c:numCache>
            </c:numRef>
          </c:xVal>
          <c:yVal>
            <c:numRef>
              <c:f>a班!$H$6:$H$32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0.08</c:v>
                </c:pt>
                <c:pt idx="7">
                  <c:v>0.08</c:v>
                </c:pt>
                <c:pt idx="8">
                  <c:v>0.3</c:v>
                </c:pt>
                <c:pt idx="9">
                  <c:v>0.79</c:v>
                </c:pt>
                <c:pt idx="10">
                  <c:v>1.29</c:v>
                </c:pt>
                <c:pt idx="11">
                  <c:v>2.0099999999999998</c:v>
                </c:pt>
                <c:pt idx="12">
                  <c:v>2.75</c:v>
                </c:pt>
                <c:pt idx="13">
                  <c:v>3.18</c:v>
                </c:pt>
                <c:pt idx="14">
                  <c:v>4</c:v>
                </c:pt>
                <c:pt idx="15">
                  <c:v>4.63</c:v>
                </c:pt>
                <c:pt idx="16">
                  <c:v>5.49</c:v>
                </c:pt>
                <c:pt idx="17">
                  <c:v>6.23</c:v>
                </c:pt>
                <c:pt idx="18">
                  <c:v>6.85</c:v>
                </c:pt>
                <c:pt idx="19">
                  <c:v>7.67</c:v>
                </c:pt>
                <c:pt idx="20">
                  <c:v>8.61</c:v>
                </c:pt>
                <c:pt idx="21">
                  <c:v>9.33</c:v>
                </c:pt>
                <c:pt idx="22">
                  <c:v>10.18</c:v>
                </c:pt>
                <c:pt idx="23">
                  <c:v>10.88</c:v>
                </c:pt>
                <c:pt idx="24">
                  <c:v>11.61</c:v>
                </c:pt>
                <c:pt idx="25">
                  <c:v>12.5</c:v>
                </c:pt>
                <c:pt idx="26">
                  <c:v>13.43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A9-C747-AF06-0AF02B5A9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9120"/>
        <c:axId val="379040832"/>
      </c:scatterChart>
      <c:valAx>
        <c:axId val="37903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順方向印加電圧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40832"/>
        <c:crosses val="autoZero"/>
        <c:crossBetween val="midCat"/>
      </c:valAx>
      <c:valAx>
        <c:axId val="379040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[mA]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391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91771616626348673"/>
          <c:y val="0.5508074511519393"/>
          <c:w val="7.6882666126333224E-2"/>
          <c:h val="0.22707900970932496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1998892192026"/>
          <c:y val="4.9994309881695641E-2"/>
          <c:w val="0.79580788175384698"/>
          <c:h val="0.78813206740026698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marker>
            <c:symbol val="square"/>
            <c:size val="4"/>
            <c:spPr>
              <a:solidFill>
                <a:srgbClr val="00B0F0"/>
              </a:solidFill>
              <a:ln>
                <a:solidFill>
                  <a:srgbClr val="00B0F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a班!$J$6:$J$12</c:f>
              <c:numCache>
                <c:formatCode>0.00</c:formatCode>
                <c:ptCount val="7"/>
                <c:pt idx="0">
                  <c:v>0</c:v>
                </c:pt>
                <c:pt idx="1">
                  <c:v>5.14</c:v>
                </c:pt>
                <c:pt idx="2">
                  <c:v>10.029999999999999</c:v>
                </c:pt>
                <c:pt idx="3">
                  <c:v>15.15</c:v>
                </c:pt>
                <c:pt idx="4">
                  <c:v>20.02</c:v>
                </c:pt>
                <c:pt idx="5">
                  <c:v>25.09</c:v>
                </c:pt>
                <c:pt idx="6">
                  <c:v>30.15</c:v>
                </c:pt>
              </c:numCache>
            </c:numRef>
          </c:xVal>
          <c:yVal>
            <c:numRef>
              <c:f>a班!$K$6:$K$12</c:f>
              <c:numCache>
                <c:formatCode>0</c:formatCode>
                <c:ptCount val="7"/>
                <c:pt idx="0">
                  <c:v>16.100000000000001</c:v>
                </c:pt>
                <c:pt idx="1">
                  <c:v>662</c:v>
                </c:pt>
                <c:pt idx="2">
                  <c:v>1189</c:v>
                </c:pt>
                <c:pt idx="3">
                  <c:v>1671</c:v>
                </c:pt>
                <c:pt idx="4">
                  <c:v>2147</c:v>
                </c:pt>
                <c:pt idx="5">
                  <c:v>2503</c:v>
                </c:pt>
                <c:pt idx="6">
                  <c:v>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89-2840-9154-391B17705A8C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a班!$L$6:$L$12</c:f>
              <c:numCache>
                <c:formatCode>0.0</c:formatCode>
                <c:ptCount val="7"/>
                <c:pt idx="0">
                  <c:v>0</c:v>
                </c:pt>
                <c:pt idx="1">
                  <c:v>5.35</c:v>
                </c:pt>
                <c:pt idx="2">
                  <c:v>10.25</c:v>
                </c:pt>
                <c:pt idx="3">
                  <c:v>15.32</c:v>
                </c:pt>
                <c:pt idx="4">
                  <c:v>20.100000000000001</c:v>
                </c:pt>
                <c:pt idx="5">
                  <c:v>25.1</c:v>
                </c:pt>
                <c:pt idx="6">
                  <c:v>29.62</c:v>
                </c:pt>
              </c:numCache>
            </c:numRef>
          </c:xVal>
          <c:yVal>
            <c:numRef>
              <c:f>a班!$M$6:$M$12</c:f>
              <c:numCache>
                <c:formatCode>0.0</c:formatCode>
                <c:ptCount val="7"/>
                <c:pt idx="0">
                  <c:v>15.4</c:v>
                </c:pt>
                <c:pt idx="1">
                  <c:v>32.6</c:v>
                </c:pt>
                <c:pt idx="2">
                  <c:v>60.8</c:v>
                </c:pt>
                <c:pt idx="3">
                  <c:v>82.4</c:v>
                </c:pt>
                <c:pt idx="4">
                  <c:v>108</c:v>
                </c:pt>
                <c:pt idx="5">
                  <c:v>128</c:v>
                </c:pt>
                <c:pt idx="6">
                  <c:v>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89-2840-9154-391B17705A8C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a班!$N$6:$N$12</c:f>
              <c:numCache>
                <c:formatCode>0.00</c:formatCode>
                <c:ptCount val="7"/>
                <c:pt idx="0">
                  <c:v>0</c:v>
                </c:pt>
                <c:pt idx="1">
                  <c:v>5.17</c:v>
                </c:pt>
                <c:pt idx="2">
                  <c:v>10.14</c:v>
                </c:pt>
                <c:pt idx="3">
                  <c:v>15</c:v>
                </c:pt>
                <c:pt idx="4">
                  <c:v>20.420000000000002</c:v>
                </c:pt>
                <c:pt idx="5">
                  <c:v>25.5</c:v>
                </c:pt>
                <c:pt idx="6">
                  <c:v>29.23</c:v>
                </c:pt>
              </c:numCache>
            </c:numRef>
          </c:xVal>
          <c:yVal>
            <c:numRef>
              <c:f>a班!$O$6:$O$12</c:f>
              <c:numCache>
                <c:formatCode>0.0</c:formatCode>
                <c:ptCount val="7"/>
                <c:pt idx="0">
                  <c:v>18.7</c:v>
                </c:pt>
                <c:pt idx="1">
                  <c:v>220</c:v>
                </c:pt>
                <c:pt idx="2">
                  <c:v>446</c:v>
                </c:pt>
                <c:pt idx="3">
                  <c:v>666</c:v>
                </c:pt>
                <c:pt idx="4">
                  <c:v>901</c:v>
                </c:pt>
                <c:pt idx="5">
                  <c:v>1122</c:v>
                </c:pt>
                <c:pt idx="6">
                  <c:v>1278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89-2840-9154-391B17705A8C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8E8E8"/>
              </a:solidFill>
              <a:ln>
                <a:solidFill>
                  <a:srgbClr val="E8E8E8"/>
                </a:solidFill>
                <a:prstDash val="solid"/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a班!$P$6:$P$12</c:f>
              <c:numCache>
                <c:formatCode>0.00</c:formatCode>
                <c:ptCount val="7"/>
                <c:pt idx="0">
                  <c:v>0</c:v>
                </c:pt>
                <c:pt idx="1">
                  <c:v>4.9400000000000004</c:v>
                </c:pt>
                <c:pt idx="2">
                  <c:v>10.029999999999999</c:v>
                </c:pt>
                <c:pt idx="3">
                  <c:v>14.95</c:v>
                </c:pt>
                <c:pt idx="4">
                  <c:v>20.04</c:v>
                </c:pt>
                <c:pt idx="5">
                  <c:v>24.97</c:v>
                </c:pt>
                <c:pt idx="6">
                  <c:v>30.12</c:v>
                </c:pt>
              </c:numCache>
            </c:numRef>
          </c:xVal>
          <c:yVal>
            <c:numRef>
              <c:f>a班!$Q$6:$Q$12</c:f>
              <c:numCache>
                <c:formatCode>0.0</c:formatCode>
                <c:ptCount val="7"/>
                <c:pt idx="0">
                  <c:v>0.1</c:v>
                </c:pt>
                <c:pt idx="1">
                  <c:v>348</c:v>
                </c:pt>
                <c:pt idx="2">
                  <c:v>635</c:v>
                </c:pt>
                <c:pt idx="3">
                  <c:v>882</c:v>
                </c:pt>
                <c:pt idx="4">
                  <c:v>1024</c:v>
                </c:pt>
                <c:pt idx="5">
                  <c:v>1223</c:v>
                </c:pt>
                <c:pt idx="6">
                  <c:v>1445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89-2840-9154-391B17705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91888"/>
        <c:axId val="1813185808"/>
      </c:scatterChart>
      <c:valAx>
        <c:axId val="181319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</a:t>
                </a:r>
                <a:r>
                  <a:rPr lang="en" altLang="ja-JP" b="0"/>
                  <a:t>mA]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85808"/>
        <c:crosses val="autoZero"/>
        <c:crossBetween val="midCat"/>
      </c:valAx>
      <c:valAx>
        <c:axId val="1813185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光出力</a:t>
                </a:r>
                <a:r>
                  <a:rPr lang="en-US" altLang="ja-JP" b="0"/>
                  <a:t>[µ</a:t>
                </a:r>
                <a:r>
                  <a:rPr lang="en" altLang="ja-JP" b="0"/>
                  <a:t>W]</a:t>
                </a:r>
                <a:endParaRPr lang="ja-JP" altLang="en-US" b="0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918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1157504655837262"/>
          <c:y val="1.3452225598213017E-2"/>
          <c:w val="0.27005262623505505"/>
          <c:h val="0.22272439061105745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58072851321866E-2"/>
                  <c:y val="-0.3164833093046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a班!$B$49:$B$51</c:f>
              <c:numCache>
                <c:formatCode>General</c:formatCode>
                <c:ptCount val="3"/>
                <c:pt idx="0">
                  <c:v>2.31</c:v>
                </c:pt>
                <c:pt idx="1">
                  <c:v>2.1</c:v>
                </c:pt>
                <c:pt idx="2">
                  <c:v>1.7</c:v>
                </c:pt>
              </c:numCache>
            </c:numRef>
          </c:xVal>
          <c:yVal>
            <c:numRef>
              <c:f>a班!$C$49:$C$51</c:f>
              <c:numCache>
                <c:formatCode>General</c:formatCode>
                <c:ptCount val="3"/>
                <c:pt idx="0">
                  <c:v>0.46760000000000002</c:v>
                </c:pt>
                <c:pt idx="1">
                  <c:v>0.53059999999999996</c:v>
                </c:pt>
                <c:pt idx="2">
                  <c:v>0.63560000000000005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B-6541-8F81-E82B16F1F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855727"/>
        <c:axId val="350898863"/>
      </c:scatterChart>
      <c:valAx>
        <c:axId val="350855727"/>
        <c:scaling>
          <c:orientation val="minMax"/>
          <c:min val="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立ち上がり電圧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0898863"/>
        <c:crosses val="autoZero"/>
        <c:crossBetween val="midCat"/>
      </c:valAx>
      <c:valAx>
        <c:axId val="350898863"/>
        <c:scaling>
          <c:orientation val="minMax"/>
          <c:min val="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発光波長</a:t>
                </a:r>
                <a:r>
                  <a:rPr lang="en-US" altLang="ja-JP"/>
                  <a:t>[µm]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085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8460468902296"/>
          <c:y val="5.0890807706697003E-2"/>
          <c:w val="0.86488818067166717"/>
          <c:h val="0.78752523138560315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marker>
            <c:symbol val="square"/>
            <c:size val="4"/>
          </c:marker>
          <c:xVal>
            <c:numRef>
              <c:f>b班!$A$6:$A$32</c:f>
              <c:numCache>
                <c:formatCode>0.00</c:formatCode>
                <c:ptCount val="27"/>
                <c:pt idx="0">
                  <c:v>0.498</c:v>
                </c:pt>
                <c:pt idx="1">
                  <c:v>1.08</c:v>
                </c:pt>
                <c:pt idx="2">
                  <c:v>1.5609999999999999</c:v>
                </c:pt>
                <c:pt idx="3">
                  <c:v>2.02</c:v>
                </c:pt>
                <c:pt idx="4">
                  <c:v>2.3679999999999999</c:v>
                </c:pt>
                <c:pt idx="5">
                  <c:v>2.4500000000000002</c:v>
                </c:pt>
                <c:pt idx="6">
                  <c:v>2.5049999999999999</c:v>
                </c:pt>
                <c:pt idx="7">
                  <c:v>2.5499999999999998</c:v>
                </c:pt>
                <c:pt idx="8">
                  <c:v>2.6030000000000002</c:v>
                </c:pt>
                <c:pt idx="9">
                  <c:v>2.65</c:v>
                </c:pt>
                <c:pt idx="10">
                  <c:v>2.702</c:v>
                </c:pt>
                <c:pt idx="11">
                  <c:v>2.8050000000000002</c:v>
                </c:pt>
                <c:pt idx="12">
                  <c:v>2.9</c:v>
                </c:pt>
                <c:pt idx="13">
                  <c:v>3.0070000000000001</c:v>
                </c:pt>
                <c:pt idx="14">
                  <c:v>3.1030000000000002</c:v>
                </c:pt>
              </c:numCache>
            </c:numRef>
          </c:xVal>
          <c:yVal>
            <c:numRef>
              <c:f>b班!$B$6:$B$32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0.2</c:v>
                </c:pt>
                <c:pt idx="6">
                  <c:v>0.48</c:v>
                </c:pt>
                <c:pt idx="7">
                  <c:v>1.1000000000000001</c:v>
                </c:pt>
                <c:pt idx="8">
                  <c:v>2.02</c:v>
                </c:pt>
                <c:pt idx="9">
                  <c:v>3.35</c:v>
                </c:pt>
                <c:pt idx="10">
                  <c:v>4.75</c:v>
                </c:pt>
                <c:pt idx="11">
                  <c:v>8.5299999999999994</c:v>
                </c:pt>
                <c:pt idx="12">
                  <c:v>14.34</c:v>
                </c:pt>
                <c:pt idx="13">
                  <c:v>21.72</c:v>
                </c:pt>
                <c:pt idx="14">
                  <c:v>30.32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3-A14A-8456-0FDA43ED320D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4"/>
          </c:marker>
          <c:xVal>
            <c:numRef>
              <c:f>b班!$C$6:$C$32</c:f>
              <c:numCache>
                <c:formatCode>0.00</c:formatCode>
                <c:ptCount val="27"/>
                <c:pt idx="0">
                  <c:v>6.2E-2</c:v>
                </c:pt>
                <c:pt idx="1">
                  <c:v>0.55300000000000005</c:v>
                </c:pt>
                <c:pt idx="2">
                  <c:v>1.0449999999999999</c:v>
                </c:pt>
                <c:pt idx="3">
                  <c:v>1.55</c:v>
                </c:pt>
                <c:pt idx="4">
                  <c:v>2.02</c:v>
                </c:pt>
                <c:pt idx="5">
                  <c:v>2.3889999999999998</c:v>
                </c:pt>
                <c:pt idx="6">
                  <c:v>2.5470000000000002</c:v>
                </c:pt>
                <c:pt idx="7">
                  <c:v>2.6</c:v>
                </c:pt>
                <c:pt idx="8">
                  <c:v>2.653</c:v>
                </c:pt>
                <c:pt idx="9">
                  <c:v>2.7</c:v>
                </c:pt>
                <c:pt idx="10">
                  <c:v>2.8</c:v>
                </c:pt>
                <c:pt idx="11">
                  <c:v>2.85</c:v>
                </c:pt>
                <c:pt idx="12">
                  <c:v>3.0579999999999998</c:v>
                </c:pt>
                <c:pt idx="13">
                  <c:v>3.2040000000000002</c:v>
                </c:pt>
                <c:pt idx="14">
                  <c:v>3.3140000000000001</c:v>
                </c:pt>
                <c:pt idx="15">
                  <c:v>3.4</c:v>
                </c:pt>
                <c:pt idx="16">
                  <c:v>3.4449999999999998</c:v>
                </c:pt>
              </c:numCache>
            </c:numRef>
          </c:xVal>
          <c:yVal>
            <c:numRef>
              <c:f>b班!$D$6:$D$32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0.15</c:v>
                </c:pt>
                <c:pt idx="7">
                  <c:v>0.24</c:v>
                </c:pt>
                <c:pt idx="8">
                  <c:v>0.42</c:v>
                </c:pt>
                <c:pt idx="9">
                  <c:v>0.7</c:v>
                </c:pt>
                <c:pt idx="10">
                  <c:v>1.88</c:v>
                </c:pt>
                <c:pt idx="11">
                  <c:v>2.9</c:v>
                </c:pt>
                <c:pt idx="12">
                  <c:v>9.94</c:v>
                </c:pt>
                <c:pt idx="13">
                  <c:v>15.47</c:v>
                </c:pt>
                <c:pt idx="14">
                  <c:v>20.48</c:v>
                </c:pt>
                <c:pt idx="15">
                  <c:v>25.94</c:v>
                </c:pt>
                <c:pt idx="16">
                  <c:v>29.97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33-A14A-8456-0FDA43ED320D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marker>
            <c:symbol val="x"/>
            <c:size val="5"/>
          </c:marker>
          <c:xVal>
            <c:numRef>
              <c:f>b班!$E$6:$E$32</c:f>
              <c:numCache>
                <c:formatCode>0.00</c:formatCode>
                <c:ptCount val="27"/>
                <c:pt idx="0">
                  <c:v>0.56999999999999995</c:v>
                </c:pt>
                <c:pt idx="1">
                  <c:v>0.93</c:v>
                </c:pt>
                <c:pt idx="2">
                  <c:v>1.548</c:v>
                </c:pt>
                <c:pt idx="3">
                  <c:v>1.6659999999999999</c:v>
                </c:pt>
                <c:pt idx="4">
                  <c:v>1.7070000000000001</c:v>
                </c:pt>
                <c:pt idx="5">
                  <c:v>1.72</c:v>
                </c:pt>
                <c:pt idx="6">
                  <c:v>1.8069999999999999</c:v>
                </c:pt>
                <c:pt idx="7">
                  <c:v>1.8540000000000001</c:v>
                </c:pt>
                <c:pt idx="8">
                  <c:v>1.873</c:v>
                </c:pt>
                <c:pt idx="9">
                  <c:v>1.901</c:v>
                </c:pt>
                <c:pt idx="10">
                  <c:v>1.9359999999999999</c:v>
                </c:pt>
                <c:pt idx="11">
                  <c:v>2.0270000000000001</c:v>
                </c:pt>
                <c:pt idx="12">
                  <c:v>2.0910000000000002</c:v>
                </c:pt>
                <c:pt idx="13">
                  <c:v>2.1080000000000001</c:v>
                </c:pt>
                <c:pt idx="14">
                  <c:v>2.1469999999999998</c:v>
                </c:pt>
              </c:numCache>
            </c:numRef>
          </c:xVal>
          <c:yVal>
            <c:numRef>
              <c:f>b班!$F$6:$F$32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0.11</c:v>
                </c:pt>
                <c:pt idx="4">
                  <c:v>0.23</c:v>
                </c:pt>
                <c:pt idx="5">
                  <c:v>0.59</c:v>
                </c:pt>
                <c:pt idx="6">
                  <c:v>1.72</c:v>
                </c:pt>
                <c:pt idx="7">
                  <c:v>3.54</c:v>
                </c:pt>
                <c:pt idx="8">
                  <c:v>4.9800000000000004</c:v>
                </c:pt>
                <c:pt idx="9">
                  <c:v>6.13</c:v>
                </c:pt>
                <c:pt idx="10">
                  <c:v>8.3000000000000007</c:v>
                </c:pt>
                <c:pt idx="11">
                  <c:v>15.98</c:v>
                </c:pt>
                <c:pt idx="12">
                  <c:v>23.09</c:v>
                </c:pt>
                <c:pt idx="13">
                  <c:v>25.22</c:v>
                </c:pt>
                <c:pt idx="14">
                  <c:v>30.49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33-A14A-8456-0FDA43ED320D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b班!$G$6:$G$32</c:f>
              <c:numCache>
                <c:formatCode>0.00</c:formatCode>
                <c:ptCount val="27"/>
                <c:pt idx="0">
                  <c:v>0.51200000000000001</c:v>
                </c:pt>
                <c:pt idx="1">
                  <c:v>1.504</c:v>
                </c:pt>
                <c:pt idx="2">
                  <c:v>2.363</c:v>
                </c:pt>
                <c:pt idx="3">
                  <c:v>2.5019999999999998</c:v>
                </c:pt>
                <c:pt idx="4">
                  <c:v>2.6080000000000001</c:v>
                </c:pt>
                <c:pt idx="5">
                  <c:v>2.669</c:v>
                </c:pt>
                <c:pt idx="6">
                  <c:v>2.7440000000000002</c:v>
                </c:pt>
                <c:pt idx="7">
                  <c:v>2.8109999999999999</c:v>
                </c:pt>
                <c:pt idx="8">
                  <c:v>2.855</c:v>
                </c:pt>
                <c:pt idx="9">
                  <c:v>2.9329999999999998</c:v>
                </c:pt>
                <c:pt idx="10">
                  <c:v>3.0049999999999999</c:v>
                </c:pt>
                <c:pt idx="11">
                  <c:v>3.109</c:v>
                </c:pt>
                <c:pt idx="12">
                  <c:v>3.1520000000000001</c:v>
                </c:pt>
                <c:pt idx="13">
                  <c:v>3.2189999999999999</c:v>
                </c:pt>
                <c:pt idx="14">
                  <c:v>3.2719999999999998</c:v>
                </c:pt>
              </c:numCache>
            </c:numRef>
          </c:xVal>
          <c:yVal>
            <c:numRef>
              <c:f>b班!$H$6:$H$32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0.1</c:v>
                </c:pt>
                <c:pt idx="4">
                  <c:v>0.51</c:v>
                </c:pt>
                <c:pt idx="5">
                  <c:v>1.07</c:v>
                </c:pt>
                <c:pt idx="6">
                  <c:v>2.15</c:v>
                </c:pt>
                <c:pt idx="7">
                  <c:v>3.55</c:v>
                </c:pt>
                <c:pt idx="8">
                  <c:v>4.72</c:v>
                </c:pt>
                <c:pt idx="9">
                  <c:v>7.35</c:v>
                </c:pt>
                <c:pt idx="10">
                  <c:v>10.4</c:v>
                </c:pt>
                <c:pt idx="11">
                  <c:v>16.2</c:v>
                </c:pt>
                <c:pt idx="12">
                  <c:v>19.170000000000002</c:v>
                </c:pt>
                <c:pt idx="13">
                  <c:v>24.28</c:v>
                </c:pt>
                <c:pt idx="14">
                  <c:v>30.03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33-A14A-8456-0FDA43ED3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9120"/>
        <c:axId val="379040832"/>
      </c:scatterChart>
      <c:valAx>
        <c:axId val="37903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順方向印加電圧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40832"/>
        <c:crosses val="autoZero"/>
        <c:crossBetween val="midCat"/>
      </c:valAx>
      <c:valAx>
        <c:axId val="379040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[mA]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391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9177161100882818"/>
          <c:y val="0.61562213010633893"/>
          <c:w val="7.6882666126333224E-2"/>
          <c:h val="0.22707900970932496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11689443078878"/>
          <c:y val="5.0890807706697003E-2"/>
          <c:w val="0.78990142177947442"/>
          <c:h val="0.77374320166831556"/>
        </c:manualLayout>
      </c:layout>
      <c:scatterChart>
        <c:scatterStyle val="lineMarker"/>
        <c:varyColors val="0"/>
        <c:ser>
          <c:idx val="4"/>
          <c:order val="0"/>
          <c:tx>
            <c:v>青</c:v>
          </c:tx>
          <c:spPr>
            <a:ln w="38100">
              <a:noFill/>
            </a:ln>
          </c:spPr>
          <c:xVal>
            <c:numRef>
              <c:f>b班!$J$6:$J$12</c:f>
              <c:numCache>
                <c:formatCode>0.00</c:formatCode>
                <c:ptCount val="7"/>
                <c:pt idx="0">
                  <c:v>0</c:v>
                </c:pt>
                <c:pt idx="1">
                  <c:v>4.99</c:v>
                </c:pt>
                <c:pt idx="2">
                  <c:v>9.98</c:v>
                </c:pt>
                <c:pt idx="3">
                  <c:v>14.83</c:v>
                </c:pt>
                <c:pt idx="4">
                  <c:v>20</c:v>
                </c:pt>
                <c:pt idx="5">
                  <c:v>25.36</c:v>
                </c:pt>
                <c:pt idx="6">
                  <c:v>30.21</c:v>
                </c:pt>
              </c:numCache>
            </c:numRef>
          </c:xVal>
          <c:yVal>
            <c:numRef>
              <c:f>b班!$K$6:$K$12</c:f>
              <c:numCache>
                <c:formatCode>0.00</c:formatCode>
                <c:ptCount val="7"/>
                <c:pt idx="0">
                  <c:v>0</c:v>
                </c:pt>
                <c:pt idx="1">
                  <c:v>297.8</c:v>
                </c:pt>
                <c:pt idx="2">
                  <c:v>519</c:v>
                </c:pt>
                <c:pt idx="3">
                  <c:v>788.3</c:v>
                </c:pt>
                <c:pt idx="4">
                  <c:v>1378.5</c:v>
                </c:pt>
                <c:pt idx="5">
                  <c:v>1591.5</c:v>
                </c:pt>
                <c:pt idx="6">
                  <c:v>2079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BD0-4946-AEFD-BE66759B76EC}"/>
            </c:ext>
          </c:extLst>
        </c:ser>
        <c:ser>
          <c:idx val="5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xVal>
            <c:numRef>
              <c:f>b班!$L$6:$L$12</c:f>
              <c:numCache>
                <c:formatCode>0.00</c:formatCode>
                <c:ptCount val="7"/>
                <c:pt idx="0">
                  <c:v>0</c:v>
                </c:pt>
                <c:pt idx="1">
                  <c:v>5.15</c:v>
                </c:pt>
                <c:pt idx="2">
                  <c:v>10.06</c:v>
                </c:pt>
                <c:pt idx="3">
                  <c:v>15.23</c:v>
                </c:pt>
                <c:pt idx="4">
                  <c:v>20.05</c:v>
                </c:pt>
                <c:pt idx="5">
                  <c:v>25.17</c:v>
                </c:pt>
                <c:pt idx="6">
                  <c:v>30.85</c:v>
                </c:pt>
              </c:numCache>
            </c:numRef>
          </c:xVal>
          <c:yVal>
            <c:numRef>
              <c:f>b班!$M$6:$M$12</c:f>
              <c:numCache>
                <c:formatCode>0.00</c:formatCode>
                <c:ptCount val="7"/>
                <c:pt idx="0">
                  <c:v>0</c:v>
                </c:pt>
                <c:pt idx="1">
                  <c:v>42.61</c:v>
                </c:pt>
                <c:pt idx="2">
                  <c:v>76.5</c:v>
                </c:pt>
                <c:pt idx="3">
                  <c:v>107.34</c:v>
                </c:pt>
                <c:pt idx="4">
                  <c:v>132.63999999999999</c:v>
                </c:pt>
                <c:pt idx="5">
                  <c:v>152.4</c:v>
                </c:pt>
                <c:pt idx="6">
                  <c:v>184.2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BD0-4946-AEFD-BE66759B76EC}"/>
            </c:ext>
          </c:extLst>
        </c:ser>
        <c:ser>
          <c:idx val="6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xVal>
            <c:numRef>
              <c:f>b班!$N$6:$N$12</c:f>
              <c:numCache>
                <c:formatCode>0.00</c:formatCode>
                <c:ptCount val="7"/>
                <c:pt idx="0">
                  <c:v>0</c:v>
                </c:pt>
                <c:pt idx="1">
                  <c:v>5.15</c:v>
                </c:pt>
                <c:pt idx="2">
                  <c:v>10.09</c:v>
                </c:pt>
                <c:pt idx="3">
                  <c:v>15.06</c:v>
                </c:pt>
                <c:pt idx="4">
                  <c:v>20.350000000000001</c:v>
                </c:pt>
                <c:pt idx="5">
                  <c:v>24.91</c:v>
                </c:pt>
                <c:pt idx="6">
                  <c:v>30.31</c:v>
                </c:pt>
              </c:numCache>
            </c:numRef>
          </c:xVal>
          <c:yVal>
            <c:numRef>
              <c:f>b班!$O$6:$O$12</c:f>
              <c:numCache>
                <c:formatCode>0.00</c:formatCode>
                <c:ptCount val="7"/>
                <c:pt idx="0">
                  <c:v>0</c:v>
                </c:pt>
                <c:pt idx="1">
                  <c:v>100.96</c:v>
                </c:pt>
                <c:pt idx="2">
                  <c:v>229.1</c:v>
                </c:pt>
                <c:pt idx="3">
                  <c:v>384.1</c:v>
                </c:pt>
                <c:pt idx="4">
                  <c:v>528.20000000000005</c:v>
                </c:pt>
                <c:pt idx="5">
                  <c:v>587.79999999999995</c:v>
                </c:pt>
                <c:pt idx="6">
                  <c:v>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BD0-4946-AEFD-BE66759B76EC}"/>
            </c:ext>
          </c:extLst>
        </c:ser>
        <c:ser>
          <c:idx val="7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xVal>
            <c:numRef>
              <c:f>b班!$P$6:$P$12</c:f>
              <c:numCache>
                <c:formatCode>0.00</c:formatCode>
                <c:ptCount val="7"/>
                <c:pt idx="0">
                  <c:v>0</c:v>
                </c:pt>
                <c:pt idx="1">
                  <c:v>4.96</c:v>
                </c:pt>
                <c:pt idx="2">
                  <c:v>10.06</c:v>
                </c:pt>
                <c:pt idx="3">
                  <c:v>14.95</c:v>
                </c:pt>
                <c:pt idx="4">
                  <c:v>20.05</c:v>
                </c:pt>
                <c:pt idx="5">
                  <c:v>25.05</c:v>
                </c:pt>
                <c:pt idx="6">
                  <c:v>29.07</c:v>
                </c:pt>
              </c:numCache>
            </c:numRef>
          </c:xVal>
          <c:yVal>
            <c:numRef>
              <c:f>b班!$Q$6:$Q$12</c:f>
              <c:numCache>
                <c:formatCode>0.00</c:formatCode>
                <c:ptCount val="7"/>
                <c:pt idx="0">
                  <c:v>0</c:v>
                </c:pt>
                <c:pt idx="1">
                  <c:v>238.7</c:v>
                </c:pt>
                <c:pt idx="2">
                  <c:v>451.5</c:v>
                </c:pt>
                <c:pt idx="3">
                  <c:v>629.9</c:v>
                </c:pt>
                <c:pt idx="4">
                  <c:v>826.1</c:v>
                </c:pt>
                <c:pt idx="5">
                  <c:v>981.5</c:v>
                </c:pt>
                <c:pt idx="6">
                  <c:v>1077.9000000000001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BD0-4946-AEFD-BE66759B76EC}"/>
            </c:ext>
          </c:extLst>
        </c:ser>
        <c:ser>
          <c:idx val="1"/>
          <c:order val="4"/>
          <c:tx>
            <c:v>青</c:v>
          </c:tx>
          <c:spPr>
            <a:ln w="38100">
              <a:noFill/>
            </a:ln>
          </c:spPr>
          <c:marker>
            <c:symbol val="square"/>
            <c:size val="4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b班!$A$6:$A$32</c:f>
              <c:numCache>
                <c:formatCode>0.00</c:formatCode>
                <c:ptCount val="27"/>
                <c:pt idx="0">
                  <c:v>0.498</c:v>
                </c:pt>
                <c:pt idx="1">
                  <c:v>1.08</c:v>
                </c:pt>
                <c:pt idx="2">
                  <c:v>1.5609999999999999</c:v>
                </c:pt>
                <c:pt idx="3">
                  <c:v>2.02</c:v>
                </c:pt>
                <c:pt idx="4">
                  <c:v>2.3679999999999999</c:v>
                </c:pt>
                <c:pt idx="5">
                  <c:v>2.4500000000000002</c:v>
                </c:pt>
                <c:pt idx="6">
                  <c:v>2.5049999999999999</c:v>
                </c:pt>
                <c:pt idx="7">
                  <c:v>2.5499999999999998</c:v>
                </c:pt>
                <c:pt idx="8">
                  <c:v>2.6030000000000002</c:v>
                </c:pt>
                <c:pt idx="9">
                  <c:v>2.65</c:v>
                </c:pt>
                <c:pt idx="10">
                  <c:v>2.702</c:v>
                </c:pt>
                <c:pt idx="11">
                  <c:v>2.8050000000000002</c:v>
                </c:pt>
                <c:pt idx="12">
                  <c:v>2.9</c:v>
                </c:pt>
                <c:pt idx="13">
                  <c:v>3.0070000000000001</c:v>
                </c:pt>
                <c:pt idx="14">
                  <c:v>3.1030000000000002</c:v>
                </c:pt>
              </c:numCache>
            </c:numRef>
          </c:xVal>
          <c:yVal>
            <c:numRef>
              <c:f>b班!$B$6:$B$32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0.2</c:v>
                </c:pt>
                <c:pt idx="6">
                  <c:v>0.48</c:v>
                </c:pt>
                <c:pt idx="7">
                  <c:v>1.1000000000000001</c:v>
                </c:pt>
                <c:pt idx="8">
                  <c:v>2.02</c:v>
                </c:pt>
                <c:pt idx="9">
                  <c:v>3.35</c:v>
                </c:pt>
                <c:pt idx="10">
                  <c:v>4.75</c:v>
                </c:pt>
                <c:pt idx="11">
                  <c:v>8.5299999999999994</c:v>
                </c:pt>
                <c:pt idx="12">
                  <c:v>14.34</c:v>
                </c:pt>
                <c:pt idx="13">
                  <c:v>21.72</c:v>
                </c:pt>
                <c:pt idx="14">
                  <c:v>30.32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D0-4946-AEFD-BE66759B76EC}"/>
            </c:ext>
          </c:extLst>
        </c:ser>
        <c:ser>
          <c:idx val="2"/>
          <c:order val="5"/>
          <c:tx>
            <c:v>緑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b班!$C$6:$C$32</c:f>
              <c:numCache>
                <c:formatCode>0.00</c:formatCode>
                <c:ptCount val="27"/>
                <c:pt idx="0">
                  <c:v>6.2E-2</c:v>
                </c:pt>
                <c:pt idx="1">
                  <c:v>0.55300000000000005</c:v>
                </c:pt>
                <c:pt idx="2">
                  <c:v>1.0449999999999999</c:v>
                </c:pt>
                <c:pt idx="3">
                  <c:v>1.55</c:v>
                </c:pt>
                <c:pt idx="4">
                  <c:v>2.02</c:v>
                </c:pt>
                <c:pt idx="5">
                  <c:v>2.3889999999999998</c:v>
                </c:pt>
                <c:pt idx="6">
                  <c:v>2.5470000000000002</c:v>
                </c:pt>
                <c:pt idx="7">
                  <c:v>2.6</c:v>
                </c:pt>
                <c:pt idx="8">
                  <c:v>2.653</c:v>
                </c:pt>
                <c:pt idx="9">
                  <c:v>2.7</c:v>
                </c:pt>
                <c:pt idx="10">
                  <c:v>2.8</c:v>
                </c:pt>
                <c:pt idx="11">
                  <c:v>2.85</c:v>
                </c:pt>
                <c:pt idx="12">
                  <c:v>3.0579999999999998</c:v>
                </c:pt>
                <c:pt idx="13">
                  <c:v>3.2040000000000002</c:v>
                </c:pt>
                <c:pt idx="14">
                  <c:v>3.3140000000000001</c:v>
                </c:pt>
                <c:pt idx="15">
                  <c:v>3.4</c:v>
                </c:pt>
                <c:pt idx="16">
                  <c:v>3.4449999999999998</c:v>
                </c:pt>
              </c:numCache>
            </c:numRef>
          </c:xVal>
          <c:yVal>
            <c:numRef>
              <c:f>b班!$D$6:$D$32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0.15</c:v>
                </c:pt>
                <c:pt idx="7">
                  <c:v>0.24</c:v>
                </c:pt>
                <c:pt idx="8">
                  <c:v>0.42</c:v>
                </c:pt>
                <c:pt idx="9">
                  <c:v>0.7</c:v>
                </c:pt>
                <c:pt idx="10">
                  <c:v>1.88</c:v>
                </c:pt>
                <c:pt idx="11">
                  <c:v>2.9</c:v>
                </c:pt>
                <c:pt idx="12">
                  <c:v>9.94</c:v>
                </c:pt>
                <c:pt idx="13">
                  <c:v>15.47</c:v>
                </c:pt>
                <c:pt idx="14">
                  <c:v>20.48</c:v>
                </c:pt>
                <c:pt idx="15">
                  <c:v>25.94</c:v>
                </c:pt>
                <c:pt idx="16">
                  <c:v>29.97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D0-4946-AEFD-BE66759B76EC}"/>
            </c:ext>
          </c:extLst>
        </c:ser>
        <c:ser>
          <c:idx val="3"/>
          <c:order val="6"/>
          <c:tx>
            <c:v>赤</c:v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b班!$E$6:$E$32</c:f>
              <c:numCache>
                <c:formatCode>0.00</c:formatCode>
                <c:ptCount val="27"/>
                <c:pt idx="0">
                  <c:v>0.56999999999999995</c:v>
                </c:pt>
                <c:pt idx="1">
                  <c:v>0.93</c:v>
                </c:pt>
                <c:pt idx="2">
                  <c:v>1.548</c:v>
                </c:pt>
                <c:pt idx="3">
                  <c:v>1.6659999999999999</c:v>
                </c:pt>
                <c:pt idx="4">
                  <c:v>1.7070000000000001</c:v>
                </c:pt>
                <c:pt idx="5">
                  <c:v>1.72</c:v>
                </c:pt>
                <c:pt idx="6">
                  <c:v>1.8069999999999999</c:v>
                </c:pt>
                <c:pt idx="7">
                  <c:v>1.8540000000000001</c:v>
                </c:pt>
                <c:pt idx="8">
                  <c:v>1.873</c:v>
                </c:pt>
                <c:pt idx="9">
                  <c:v>1.901</c:v>
                </c:pt>
                <c:pt idx="10">
                  <c:v>1.9359999999999999</c:v>
                </c:pt>
                <c:pt idx="11">
                  <c:v>2.0270000000000001</c:v>
                </c:pt>
                <c:pt idx="12">
                  <c:v>2.0910000000000002</c:v>
                </c:pt>
                <c:pt idx="13">
                  <c:v>2.1080000000000001</c:v>
                </c:pt>
                <c:pt idx="14">
                  <c:v>2.1469999999999998</c:v>
                </c:pt>
              </c:numCache>
            </c:numRef>
          </c:xVal>
          <c:yVal>
            <c:numRef>
              <c:f>b班!$F$6:$F$32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0.11</c:v>
                </c:pt>
                <c:pt idx="4">
                  <c:v>0.23</c:v>
                </c:pt>
                <c:pt idx="5">
                  <c:v>0.59</c:v>
                </c:pt>
                <c:pt idx="6">
                  <c:v>1.72</c:v>
                </c:pt>
                <c:pt idx="7">
                  <c:v>3.54</c:v>
                </c:pt>
                <c:pt idx="8">
                  <c:v>4.9800000000000004</c:v>
                </c:pt>
                <c:pt idx="9">
                  <c:v>6.13</c:v>
                </c:pt>
                <c:pt idx="10">
                  <c:v>8.3000000000000007</c:v>
                </c:pt>
                <c:pt idx="11">
                  <c:v>15.98</c:v>
                </c:pt>
                <c:pt idx="12">
                  <c:v>23.09</c:v>
                </c:pt>
                <c:pt idx="13">
                  <c:v>25.22</c:v>
                </c:pt>
                <c:pt idx="14">
                  <c:v>30.49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D0-4946-AEFD-BE66759B76EC}"/>
            </c:ext>
          </c:extLst>
        </c:ser>
        <c:ser>
          <c:idx val="0"/>
          <c:order val="7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b班!$G$6:$G$32</c:f>
              <c:numCache>
                <c:formatCode>0.00</c:formatCode>
                <c:ptCount val="27"/>
                <c:pt idx="0">
                  <c:v>0.51200000000000001</c:v>
                </c:pt>
                <c:pt idx="1">
                  <c:v>1.504</c:v>
                </c:pt>
                <c:pt idx="2">
                  <c:v>2.363</c:v>
                </c:pt>
                <c:pt idx="3">
                  <c:v>2.5019999999999998</c:v>
                </c:pt>
                <c:pt idx="4">
                  <c:v>2.6080000000000001</c:v>
                </c:pt>
                <c:pt idx="5">
                  <c:v>2.669</c:v>
                </c:pt>
                <c:pt idx="6">
                  <c:v>2.7440000000000002</c:v>
                </c:pt>
                <c:pt idx="7">
                  <c:v>2.8109999999999999</c:v>
                </c:pt>
                <c:pt idx="8">
                  <c:v>2.855</c:v>
                </c:pt>
                <c:pt idx="9">
                  <c:v>2.9329999999999998</c:v>
                </c:pt>
                <c:pt idx="10">
                  <c:v>3.0049999999999999</c:v>
                </c:pt>
                <c:pt idx="11">
                  <c:v>3.109</c:v>
                </c:pt>
                <c:pt idx="12">
                  <c:v>3.1520000000000001</c:v>
                </c:pt>
                <c:pt idx="13">
                  <c:v>3.2189999999999999</c:v>
                </c:pt>
                <c:pt idx="14">
                  <c:v>3.2719999999999998</c:v>
                </c:pt>
              </c:numCache>
            </c:numRef>
          </c:xVal>
          <c:yVal>
            <c:numRef>
              <c:f>b班!$H$6:$H$32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0.1</c:v>
                </c:pt>
                <c:pt idx="4">
                  <c:v>0.51</c:v>
                </c:pt>
                <c:pt idx="5">
                  <c:v>1.07</c:v>
                </c:pt>
                <c:pt idx="6">
                  <c:v>2.15</c:v>
                </c:pt>
                <c:pt idx="7">
                  <c:v>3.55</c:v>
                </c:pt>
                <c:pt idx="8">
                  <c:v>4.72</c:v>
                </c:pt>
                <c:pt idx="9">
                  <c:v>7.35</c:v>
                </c:pt>
                <c:pt idx="10">
                  <c:v>10.4</c:v>
                </c:pt>
                <c:pt idx="11">
                  <c:v>16.2</c:v>
                </c:pt>
                <c:pt idx="12">
                  <c:v>19.170000000000002</c:v>
                </c:pt>
                <c:pt idx="13">
                  <c:v>24.28</c:v>
                </c:pt>
                <c:pt idx="14">
                  <c:v>30.03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BD0-4946-AEFD-BE66759B7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9120"/>
        <c:axId val="379040832"/>
      </c:scatterChart>
      <c:valAx>
        <c:axId val="37903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順方向印加電圧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40832"/>
        <c:crosses val="autoZero"/>
        <c:crossBetween val="midCat"/>
      </c:valAx>
      <c:valAx>
        <c:axId val="379040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[mA]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4.325784903208401E-2"/>
              <c:y val="0.3537147332304804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391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9177161100882818"/>
          <c:y val="0.61562213010633893"/>
          <c:w val="7.6882666126333224E-2"/>
          <c:h val="0.22707900970932496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11689443078878"/>
          <c:y val="5.0890807706697003E-2"/>
          <c:w val="0.78990142177947442"/>
          <c:h val="0.77374320166831556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marker>
            <c:symbol val="square"/>
            <c:size val="4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b班!$A$6:$A$32</c:f>
              <c:numCache>
                <c:formatCode>0.00</c:formatCode>
                <c:ptCount val="27"/>
                <c:pt idx="0">
                  <c:v>0.498</c:v>
                </c:pt>
                <c:pt idx="1">
                  <c:v>1.08</c:v>
                </c:pt>
                <c:pt idx="2">
                  <c:v>1.5609999999999999</c:v>
                </c:pt>
                <c:pt idx="3">
                  <c:v>2.02</c:v>
                </c:pt>
                <c:pt idx="4">
                  <c:v>2.3679999999999999</c:v>
                </c:pt>
                <c:pt idx="5">
                  <c:v>2.4500000000000002</c:v>
                </c:pt>
                <c:pt idx="6">
                  <c:v>2.5049999999999999</c:v>
                </c:pt>
                <c:pt idx="7">
                  <c:v>2.5499999999999998</c:v>
                </c:pt>
                <c:pt idx="8">
                  <c:v>2.6030000000000002</c:v>
                </c:pt>
                <c:pt idx="9">
                  <c:v>2.65</c:v>
                </c:pt>
                <c:pt idx="10">
                  <c:v>2.702</c:v>
                </c:pt>
                <c:pt idx="11">
                  <c:v>2.8050000000000002</c:v>
                </c:pt>
                <c:pt idx="12">
                  <c:v>2.9</c:v>
                </c:pt>
                <c:pt idx="13">
                  <c:v>3.0070000000000001</c:v>
                </c:pt>
                <c:pt idx="14">
                  <c:v>3.1030000000000002</c:v>
                </c:pt>
              </c:numCache>
            </c:numRef>
          </c:xVal>
          <c:yVal>
            <c:numRef>
              <c:f>b班!$B$6:$B$32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0.2</c:v>
                </c:pt>
                <c:pt idx="6">
                  <c:v>0.48</c:v>
                </c:pt>
                <c:pt idx="7">
                  <c:v>1.1000000000000001</c:v>
                </c:pt>
                <c:pt idx="8">
                  <c:v>2.02</c:v>
                </c:pt>
                <c:pt idx="9">
                  <c:v>3.35</c:v>
                </c:pt>
                <c:pt idx="10">
                  <c:v>4.75</c:v>
                </c:pt>
                <c:pt idx="11">
                  <c:v>8.5299999999999994</c:v>
                </c:pt>
                <c:pt idx="12">
                  <c:v>14.34</c:v>
                </c:pt>
                <c:pt idx="13">
                  <c:v>21.72</c:v>
                </c:pt>
                <c:pt idx="14">
                  <c:v>30.32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0-4B91-B0A3-3E936579ADB1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b班!$C$6:$C$32</c:f>
              <c:numCache>
                <c:formatCode>0.00</c:formatCode>
                <c:ptCount val="27"/>
                <c:pt idx="0">
                  <c:v>6.2E-2</c:v>
                </c:pt>
                <c:pt idx="1">
                  <c:v>0.55300000000000005</c:v>
                </c:pt>
                <c:pt idx="2">
                  <c:v>1.0449999999999999</c:v>
                </c:pt>
                <c:pt idx="3">
                  <c:v>1.55</c:v>
                </c:pt>
                <c:pt idx="4">
                  <c:v>2.02</c:v>
                </c:pt>
                <c:pt idx="5">
                  <c:v>2.3889999999999998</c:v>
                </c:pt>
                <c:pt idx="6">
                  <c:v>2.5470000000000002</c:v>
                </c:pt>
                <c:pt idx="7">
                  <c:v>2.6</c:v>
                </c:pt>
                <c:pt idx="8">
                  <c:v>2.653</c:v>
                </c:pt>
                <c:pt idx="9">
                  <c:v>2.7</c:v>
                </c:pt>
                <c:pt idx="10">
                  <c:v>2.8</c:v>
                </c:pt>
                <c:pt idx="11">
                  <c:v>2.85</c:v>
                </c:pt>
                <c:pt idx="12">
                  <c:v>3.0579999999999998</c:v>
                </c:pt>
                <c:pt idx="13">
                  <c:v>3.2040000000000002</c:v>
                </c:pt>
                <c:pt idx="14">
                  <c:v>3.3140000000000001</c:v>
                </c:pt>
                <c:pt idx="15">
                  <c:v>3.4</c:v>
                </c:pt>
                <c:pt idx="16">
                  <c:v>3.4449999999999998</c:v>
                </c:pt>
              </c:numCache>
            </c:numRef>
          </c:xVal>
          <c:yVal>
            <c:numRef>
              <c:f>b班!$D$6:$D$32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0.15</c:v>
                </c:pt>
                <c:pt idx="7">
                  <c:v>0.24</c:v>
                </c:pt>
                <c:pt idx="8">
                  <c:v>0.42</c:v>
                </c:pt>
                <c:pt idx="9">
                  <c:v>0.7</c:v>
                </c:pt>
                <c:pt idx="10">
                  <c:v>1.88</c:v>
                </c:pt>
                <c:pt idx="11">
                  <c:v>2.9</c:v>
                </c:pt>
                <c:pt idx="12">
                  <c:v>9.94</c:v>
                </c:pt>
                <c:pt idx="13">
                  <c:v>15.47</c:v>
                </c:pt>
                <c:pt idx="14">
                  <c:v>20.48</c:v>
                </c:pt>
                <c:pt idx="15">
                  <c:v>25.94</c:v>
                </c:pt>
                <c:pt idx="16">
                  <c:v>29.97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30-4B91-B0A3-3E936579ADB1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b班!$E$6:$E$32</c:f>
              <c:numCache>
                <c:formatCode>0.00</c:formatCode>
                <c:ptCount val="27"/>
                <c:pt idx="0">
                  <c:v>0.56999999999999995</c:v>
                </c:pt>
                <c:pt idx="1">
                  <c:v>0.93</c:v>
                </c:pt>
                <c:pt idx="2">
                  <c:v>1.548</c:v>
                </c:pt>
                <c:pt idx="3">
                  <c:v>1.6659999999999999</c:v>
                </c:pt>
                <c:pt idx="4">
                  <c:v>1.7070000000000001</c:v>
                </c:pt>
                <c:pt idx="5">
                  <c:v>1.72</c:v>
                </c:pt>
                <c:pt idx="6">
                  <c:v>1.8069999999999999</c:v>
                </c:pt>
                <c:pt idx="7">
                  <c:v>1.8540000000000001</c:v>
                </c:pt>
                <c:pt idx="8">
                  <c:v>1.873</c:v>
                </c:pt>
                <c:pt idx="9">
                  <c:v>1.901</c:v>
                </c:pt>
                <c:pt idx="10">
                  <c:v>1.9359999999999999</c:v>
                </c:pt>
                <c:pt idx="11">
                  <c:v>2.0270000000000001</c:v>
                </c:pt>
                <c:pt idx="12">
                  <c:v>2.0910000000000002</c:v>
                </c:pt>
                <c:pt idx="13">
                  <c:v>2.1080000000000001</c:v>
                </c:pt>
                <c:pt idx="14">
                  <c:v>2.1469999999999998</c:v>
                </c:pt>
              </c:numCache>
            </c:numRef>
          </c:xVal>
          <c:yVal>
            <c:numRef>
              <c:f>b班!$F$6:$F$32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0.11</c:v>
                </c:pt>
                <c:pt idx="4">
                  <c:v>0.23</c:v>
                </c:pt>
                <c:pt idx="5">
                  <c:v>0.59</c:v>
                </c:pt>
                <c:pt idx="6">
                  <c:v>1.72</c:v>
                </c:pt>
                <c:pt idx="7">
                  <c:v>3.54</c:v>
                </c:pt>
                <c:pt idx="8">
                  <c:v>4.9800000000000004</c:v>
                </c:pt>
                <c:pt idx="9">
                  <c:v>6.13</c:v>
                </c:pt>
                <c:pt idx="10">
                  <c:v>8.3000000000000007</c:v>
                </c:pt>
                <c:pt idx="11">
                  <c:v>15.98</c:v>
                </c:pt>
                <c:pt idx="12">
                  <c:v>23.09</c:v>
                </c:pt>
                <c:pt idx="13">
                  <c:v>25.22</c:v>
                </c:pt>
                <c:pt idx="14">
                  <c:v>30.49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30-4B91-B0A3-3E936579ADB1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b班!$G$6:$G$32</c:f>
              <c:numCache>
                <c:formatCode>0.00</c:formatCode>
                <c:ptCount val="27"/>
                <c:pt idx="0">
                  <c:v>0.51200000000000001</c:v>
                </c:pt>
                <c:pt idx="1">
                  <c:v>1.504</c:v>
                </c:pt>
                <c:pt idx="2">
                  <c:v>2.363</c:v>
                </c:pt>
                <c:pt idx="3">
                  <c:v>2.5019999999999998</c:v>
                </c:pt>
                <c:pt idx="4">
                  <c:v>2.6080000000000001</c:v>
                </c:pt>
                <c:pt idx="5">
                  <c:v>2.669</c:v>
                </c:pt>
                <c:pt idx="6">
                  <c:v>2.7440000000000002</c:v>
                </c:pt>
                <c:pt idx="7">
                  <c:v>2.8109999999999999</c:v>
                </c:pt>
                <c:pt idx="8">
                  <c:v>2.855</c:v>
                </c:pt>
                <c:pt idx="9">
                  <c:v>2.9329999999999998</c:v>
                </c:pt>
                <c:pt idx="10">
                  <c:v>3.0049999999999999</c:v>
                </c:pt>
                <c:pt idx="11">
                  <c:v>3.109</c:v>
                </c:pt>
                <c:pt idx="12">
                  <c:v>3.1520000000000001</c:v>
                </c:pt>
                <c:pt idx="13">
                  <c:v>3.2189999999999999</c:v>
                </c:pt>
                <c:pt idx="14">
                  <c:v>3.2719999999999998</c:v>
                </c:pt>
              </c:numCache>
            </c:numRef>
          </c:xVal>
          <c:yVal>
            <c:numRef>
              <c:f>b班!$H$6:$H$32</c:f>
              <c:numCache>
                <c:formatCode>0.00</c:formatCode>
                <c:ptCount val="2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0.1</c:v>
                </c:pt>
                <c:pt idx="4">
                  <c:v>0.51</c:v>
                </c:pt>
                <c:pt idx="5">
                  <c:v>1.07</c:v>
                </c:pt>
                <c:pt idx="6">
                  <c:v>2.15</c:v>
                </c:pt>
                <c:pt idx="7">
                  <c:v>3.55</c:v>
                </c:pt>
                <c:pt idx="8">
                  <c:v>4.72</c:v>
                </c:pt>
                <c:pt idx="9">
                  <c:v>7.35</c:v>
                </c:pt>
                <c:pt idx="10">
                  <c:v>10.4</c:v>
                </c:pt>
                <c:pt idx="11">
                  <c:v>16.2</c:v>
                </c:pt>
                <c:pt idx="12">
                  <c:v>19.170000000000002</c:v>
                </c:pt>
                <c:pt idx="13">
                  <c:v>24.28</c:v>
                </c:pt>
                <c:pt idx="14">
                  <c:v>30.03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30-4B91-B0A3-3E936579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9120"/>
        <c:axId val="379040832"/>
      </c:scatterChart>
      <c:valAx>
        <c:axId val="37903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順方向印加電圧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40832"/>
        <c:crosses val="autoZero"/>
        <c:crossBetween val="midCat"/>
      </c:valAx>
      <c:valAx>
        <c:axId val="379040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[mA]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4.325784903208401E-2"/>
              <c:y val="0.3537147332304804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391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9177161100882818"/>
          <c:y val="0.61562213010633893"/>
          <c:w val="7.6882666126333224E-2"/>
          <c:h val="0.22707900970932496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8771224699876"/>
          <c:y val="0.1454165306259059"/>
          <c:w val="0.82101149893508862"/>
          <c:h val="0.78813206740026698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marker>
            <c:symbol val="square"/>
            <c:size val="4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trendline>
            <c:spPr>
              <a:ln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b班!$J$6:$J$12</c:f>
              <c:numCache>
                <c:formatCode>0.00</c:formatCode>
                <c:ptCount val="7"/>
                <c:pt idx="0">
                  <c:v>0</c:v>
                </c:pt>
                <c:pt idx="1">
                  <c:v>4.99</c:v>
                </c:pt>
                <c:pt idx="2">
                  <c:v>9.98</c:v>
                </c:pt>
                <c:pt idx="3">
                  <c:v>14.83</c:v>
                </c:pt>
                <c:pt idx="4">
                  <c:v>20</c:v>
                </c:pt>
                <c:pt idx="5">
                  <c:v>25.36</c:v>
                </c:pt>
                <c:pt idx="6">
                  <c:v>30.21</c:v>
                </c:pt>
              </c:numCache>
            </c:numRef>
          </c:xVal>
          <c:yVal>
            <c:numRef>
              <c:f>b班!$K$6:$K$12</c:f>
              <c:numCache>
                <c:formatCode>0.00</c:formatCode>
                <c:ptCount val="7"/>
                <c:pt idx="0">
                  <c:v>0</c:v>
                </c:pt>
                <c:pt idx="1">
                  <c:v>297.8</c:v>
                </c:pt>
                <c:pt idx="2">
                  <c:v>519</c:v>
                </c:pt>
                <c:pt idx="3">
                  <c:v>788.3</c:v>
                </c:pt>
                <c:pt idx="4">
                  <c:v>1378.5</c:v>
                </c:pt>
                <c:pt idx="5">
                  <c:v>1591.5</c:v>
                </c:pt>
                <c:pt idx="6">
                  <c:v>2079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35-47DE-ACEA-D398531E1CED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trendline>
            <c:spPr>
              <a:ln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b班!$L$6:$L$12</c:f>
              <c:numCache>
                <c:formatCode>0.00</c:formatCode>
                <c:ptCount val="7"/>
                <c:pt idx="0">
                  <c:v>0</c:v>
                </c:pt>
                <c:pt idx="1">
                  <c:v>5.15</c:v>
                </c:pt>
                <c:pt idx="2">
                  <c:v>10.06</c:v>
                </c:pt>
                <c:pt idx="3">
                  <c:v>15.23</c:v>
                </c:pt>
                <c:pt idx="4">
                  <c:v>20.05</c:v>
                </c:pt>
                <c:pt idx="5">
                  <c:v>25.17</c:v>
                </c:pt>
                <c:pt idx="6">
                  <c:v>30.85</c:v>
                </c:pt>
              </c:numCache>
            </c:numRef>
          </c:xVal>
          <c:yVal>
            <c:numRef>
              <c:f>b班!$M$6:$M$12</c:f>
              <c:numCache>
                <c:formatCode>0.00</c:formatCode>
                <c:ptCount val="7"/>
                <c:pt idx="0">
                  <c:v>0</c:v>
                </c:pt>
                <c:pt idx="1">
                  <c:v>42.61</c:v>
                </c:pt>
                <c:pt idx="2">
                  <c:v>76.5</c:v>
                </c:pt>
                <c:pt idx="3">
                  <c:v>107.34</c:v>
                </c:pt>
                <c:pt idx="4">
                  <c:v>132.63999999999999</c:v>
                </c:pt>
                <c:pt idx="5">
                  <c:v>152.4</c:v>
                </c:pt>
                <c:pt idx="6">
                  <c:v>184.2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35-47DE-ACEA-D398531E1CED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b班!$N$6:$N$12</c:f>
              <c:numCache>
                <c:formatCode>0.00</c:formatCode>
                <c:ptCount val="7"/>
                <c:pt idx="0">
                  <c:v>0</c:v>
                </c:pt>
                <c:pt idx="1">
                  <c:v>5.15</c:v>
                </c:pt>
                <c:pt idx="2">
                  <c:v>10.09</c:v>
                </c:pt>
                <c:pt idx="3">
                  <c:v>15.06</c:v>
                </c:pt>
                <c:pt idx="4">
                  <c:v>20.350000000000001</c:v>
                </c:pt>
                <c:pt idx="5">
                  <c:v>24.91</c:v>
                </c:pt>
                <c:pt idx="6">
                  <c:v>30.31</c:v>
                </c:pt>
              </c:numCache>
            </c:numRef>
          </c:xVal>
          <c:yVal>
            <c:numRef>
              <c:f>b班!$O$6:$O$12</c:f>
              <c:numCache>
                <c:formatCode>0.00</c:formatCode>
                <c:ptCount val="7"/>
                <c:pt idx="0">
                  <c:v>0</c:v>
                </c:pt>
                <c:pt idx="1">
                  <c:v>100.96</c:v>
                </c:pt>
                <c:pt idx="2">
                  <c:v>229.1</c:v>
                </c:pt>
                <c:pt idx="3">
                  <c:v>384.1</c:v>
                </c:pt>
                <c:pt idx="4">
                  <c:v>528.20000000000005</c:v>
                </c:pt>
                <c:pt idx="5">
                  <c:v>587.79999999999995</c:v>
                </c:pt>
                <c:pt idx="6">
                  <c:v>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35-47DE-ACEA-D398531E1CED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>
                <a:solidFill>
                  <a:schemeClr val="tx1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b班!$P$6:$P$12</c:f>
              <c:numCache>
                <c:formatCode>0.00</c:formatCode>
                <c:ptCount val="7"/>
                <c:pt idx="0">
                  <c:v>0</c:v>
                </c:pt>
                <c:pt idx="1">
                  <c:v>4.96</c:v>
                </c:pt>
                <c:pt idx="2">
                  <c:v>10.06</c:v>
                </c:pt>
                <c:pt idx="3">
                  <c:v>14.95</c:v>
                </c:pt>
                <c:pt idx="4">
                  <c:v>20.05</c:v>
                </c:pt>
                <c:pt idx="5">
                  <c:v>25.05</c:v>
                </c:pt>
                <c:pt idx="6">
                  <c:v>29.07</c:v>
                </c:pt>
              </c:numCache>
            </c:numRef>
          </c:xVal>
          <c:yVal>
            <c:numRef>
              <c:f>b班!$Q$6:$Q$12</c:f>
              <c:numCache>
                <c:formatCode>0.00</c:formatCode>
                <c:ptCount val="7"/>
                <c:pt idx="0">
                  <c:v>0</c:v>
                </c:pt>
                <c:pt idx="1">
                  <c:v>238.7</c:v>
                </c:pt>
                <c:pt idx="2">
                  <c:v>451.5</c:v>
                </c:pt>
                <c:pt idx="3">
                  <c:v>629.9</c:v>
                </c:pt>
                <c:pt idx="4">
                  <c:v>826.1</c:v>
                </c:pt>
                <c:pt idx="5">
                  <c:v>981.5</c:v>
                </c:pt>
                <c:pt idx="6">
                  <c:v>1077.9000000000001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35-47DE-ACEA-D398531E1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91888"/>
        <c:axId val="1813185808"/>
      </c:scatterChart>
      <c:valAx>
        <c:axId val="181319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</a:t>
                </a:r>
                <a:r>
                  <a:rPr lang="en" altLang="ja-JP" b="0"/>
                  <a:t>mA]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85808"/>
        <c:crosses val="autoZero"/>
        <c:crossBetween val="midCat"/>
      </c:valAx>
      <c:valAx>
        <c:axId val="1813185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光出力</a:t>
                </a:r>
                <a:r>
                  <a:rPr lang="en-US" altLang="ja-JP" b="0"/>
                  <a:t>[µ</a:t>
                </a:r>
                <a:r>
                  <a:rPr lang="en" altLang="ja-JP" b="0"/>
                  <a:t>W]</a:t>
                </a:r>
                <a:endParaRPr lang="ja-JP" altLang="en-US" b="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918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1157504655837262"/>
          <c:y val="1.3452225598213017E-2"/>
          <c:w val="0.27005262623505505"/>
          <c:h val="0.22272439061105745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8460468902296"/>
          <c:y val="5.0890807706697003E-2"/>
          <c:w val="0.86488818067166717"/>
          <c:h val="0.78752523138560315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xVal>
            <c:numRef>
              <c:f>コピー用!$A$9:$A$32</c:f>
              <c:numCache>
                <c:formatCode>General</c:formatCode>
                <c:ptCount val="24"/>
              </c:numCache>
            </c:numRef>
          </c:xVal>
          <c:yVal>
            <c:numRef>
              <c:f>コピー用!$B$9:$B$32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EB8-7D41-8ADD-7CCD3B56FA4A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xVal>
            <c:numRef>
              <c:f>コピー用!$C$6:$C$32</c:f>
              <c:numCache>
                <c:formatCode>General</c:formatCode>
                <c:ptCount val="27"/>
              </c:numCache>
            </c:numRef>
          </c:xVal>
          <c:yVal>
            <c:numRef>
              <c:f>コピー用!$D$6:$D$32</c:f>
              <c:numCache>
                <c:formatCode>General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B8-7D41-8ADD-7CCD3B56FA4A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xVal>
            <c:numRef>
              <c:f>コピー用!$E$6:$E$32</c:f>
              <c:numCache>
                <c:formatCode>General</c:formatCode>
                <c:ptCount val="27"/>
              </c:numCache>
            </c:numRef>
          </c:xVal>
          <c:yVal>
            <c:numRef>
              <c:f>コピー用!$F$6:$F$32</c:f>
              <c:numCache>
                <c:formatCode>General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EB8-7D41-8ADD-7CCD3B56FA4A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コピー用!$G$6:$G$32</c:f>
              <c:numCache>
                <c:formatCode>General</c:formatCode>
                <c:ptCount val="27"/>
              </c:numCache>
            </c:numRef>
          </c:xVal>
          <c:yVal>
            <c:numRef>
              <c:f>コピー用!$H$6:$H$32</c:f>
              <c:numCache>
                <c:formatCode>General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B8-7D41-8ADD-7CCD3B56F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9120"/>
        <c:axId val="379040832"/>
      </c:scatterChart>
      <c:valAx>
        <c:axId val="37903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順方向印加電圧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40832"/>
        <c:crosses val="autoZero"/>
        <c:crossBetween val="midCat"/>
      </c:valAx>
      <c:valAx>
        <c:axId val="379040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[mA]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90391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9177161100882818"/>
          <c:y val="0.61562213010633893"/>
          <c:w val="7.6882666126333224E-2"/>
          <c:h val="0.22707900970932496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11642562037886"/>
          <c:y val="4.9994309881695641E-2"/>
          <c:w val="0.82101149893508862"/>
          <c:h val="0.78813206740026698"/>
        </c:manualLayout>
      </c:layout>
      <c:scatterChart>
        <c:scatterStyle val="lineMarker"/>
        <c:varyColors val="0"/>
        <c:ser>
          <c:idx val="1"/>
          <c:order val="0"/>
          <c:tx>
            <c:v>青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コピー用!$J$6:$J$12</c:f>
              <c:numCache>
                <c:formatCode>General</c:formatCode>
                <c:ptCount val="7"/>
              </c:numCache>
            </c:numRef>
          </c:xVal>
          <c:yVal>
            <c:numRef>
              <c:f>コピー用!$K$6:$K$12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9BD-DF45-8D27-70CE738EDE09}"/>
            </c:ext>
          </c:extLst>
        </c:ser>
        <c:ser>
          <c:idx val="2"/>
          <c:order val="1"/>
          <c:tx>
            <c:v>緑</c:v>
          </c:tx>
          <c:spPr>
            <a:ln w="38100" cap="rnd">
              <a:noFill/>
              <a:round/>
            </a:ln>
            <a:effectLst/>
          </c:spPr>
          <c:trendline>
            <c:trendlineType val="linear"/>
            <c:dispRSqr val="0"/>
            <c:dispEq val="0"/>
          </c:trendline>
          <c:xVal>
            <c:numRef>
              <c:f>コピー用!$L$6:$L$12</c:f>
              <c:numCache>
                <c:formatCode>General</c:formatCode>
                <c:ptCount val="7"/>
              </c:numCache>
            </c:numRef>
          </c:xVal>
          <c:yVal>
            <c:numRef>
              <c:f>コピー用!$M$6:$M$12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9BD-DF45-8D27-70CE738EDE09}"/>
            </c:ext>
          </c:extLst>
        </c:ser>
        <c:ser>
          <c:idx val="3"/>
          <c:order val="2"/>
          <c:tx>
            <c:v>赤</c:v>
          </c:tx>
          <c:spPr>
            <a:ln w="38100" cap="rnd">
              <a:noFill/>
              <a:round/>
            </a:ln>
            <a:effectLst/>
          </c:spPr>
          <c:trendline>
            <c:trendlineType val="linear"/>
            <c:dispRSqr val="0"/>
            <c:dispEq val="0"/>
          </c:trendline>
          <c:xVal>
            <c:numRef>
              <c:f>コピー用!$N$6:$N$12</c:f>
              <c:numCache>
                <c:formatCode>General</c:formatCode>
                <c:ptCount val="7"/>
              </c:numCache>
            </c:numRef>
          </c:xVal>
          <c:yVal>
            <c:numRef>
              <c:f>コピー用!$O$6:$O$12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9BD-DF45-8D27-70CE738EDE09}"/>
            </c:ext>
          </c:extLst>
        </c:ser>
        <c:ser>
          <c:idx val="0"/>
          <c:order val="3"/>
          <c:tx>
            <c:v>白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コピー用!$P$6:$P$12</c:f>
              <c:numCache>
                <c:formatCode>General</c:formatCode>
                <c:ptCount val="7"/>
              </c:numCache>
            </c:numRef>
          </c:xVal>
          <c:yVal>
            <c:numRef>
              <c:f>コピー用!$Q$6:$Q$12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BD-DF45-8D27-70CE738E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91888"/>
        <c:axId val="1813185808"/>
      </c:scatterChart>
      <c:valAx>
        <c:axId val="181319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電流</a:t>
                </a:r>
                <a:r>
                  <a:rPr lang="en-US" altLang="ja-JP" b="0"/>
                  <a:t>[</a:t>
                </a:r>
                <a:r>
                  <a:rPr lang="en" altLang="ja-JP" b="0"/>
                  <a:t>mA]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85808"/>
        <c:crosses val="autoZero"/>
        <c:crossBetween val="midCat"/>
      </c:valAx>
      <c:valAx>
        <c:axId val="1813185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/>
                  <a:t>光出力</a:t>
                </a:r>
                <a:r>
                  <a:rPr lang="en-US" altLang="ja-JP" b="0"/>
                  <a:t>[µ</a:t>
                </a:r>
                <a:r>
                  <a:rPr lang="en" altLang="ja-JP" b="0"/>
                  <a:t>W]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918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1157504655837262"/>
          <c:y val="1.3452225598213017E-2"/>
          <c:w val="0.27005262623505505"/>
          <c:h val="0.22272439061105745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196850</xdr:rowOff>
    </xdr:from>
    <xdr:to>
      <xdr:col>4</xdr:col>
      <xdr:colOff>762000</xdr:colOff>
      <xdr:row>44</xdr:row>
      <xdr:rowOff>196850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FFCE8F9-927B-F044-BAF1-108606AED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953681</xdr:colOff>
      <xdr:row>13</xdr:row>
      <xdr:rowOff>73247</xdr:rowOff>
    </xdr:from>
    <xdr:to>
      <xdr:col>13</xdr:col>
      <xdr:colOff>726263</xdr:colOff>
      <xdr:row>25</xdr:row>
      <xdr:rowOff>165396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04A99A6-41F9-B842-B376-5763B0EB11E8}"/>
            </a:ext>
            <a:ext uri="{147F2762-F138-4A5C-976F-8EAC2B608ADB}">
              <a16:predDERef xmlns:a16="http://schemas.microsoft.com/office/drawing/2014/main" pred="{4FFCE8F9-927B-F044-BAF1-108606AED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699604</xdr:colOff>
      <xdr:row>53</xdr:row>
      <xdr:rowOff>22087</xdr:rowOff>
    </xdr:from>
    <xdr:to>
      <xdr:col>5</xdr:col>
      <xdr:colOff>522909</xdr:colOff>
      <xdr:row>64</xdr:row>
      <xdr:rowOff>212587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C2E17BE-22D0-259E-7C59-522C2EF98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139700</xdr:rowOff>
    </xdr:from>
    <xdr:to>
      <xdr:col>4</xdr:col>
      <xdr:colOff>762000</xdr:colOff>
      <xdr:row>45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5247742-DF39-0D4F-89E6-74B3E3166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953681</xdr:colOff>
      <xdr:row>13</xdr:row>
      <xdr:rowOff>73247</xdr:rowOff>
    </xdr:from>
    <xdr:to>
      <xdr:col>13</xdr:col>
      <xdr:colOff>726263</xdr:colOff>
      <xdr:row>25</xdr:row>
      <xdr:rowOff>165396</xdr:rowOff>
    </xdr:to>
    <xdr:graphicFrame macro="">
      <xdr:nvGraphicFramePr>
        <xdr:cNvPr id="34" name="グラフ 2">
          <a:extLst>
            <a:ext uri="{FF2B5EF4-FFF2-40B4-BE49-F238E27FC236}">
              <a16:creationId xmlns:a16="http://schemas.microsoft.com/office/drawing/2014/main" id="{859516B8-2645-1644-8D9B-BFBBAD614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726558</xdr:colOff>
      <xdr:row>52</xdr:row>
      <xdr:rowOff>8860</xdr:rowOff>
    </xdr:from>
    <xdr:to>
      <xdr:col>6</xdr:col>
      <xdr:colOff>212651</xdr:colOff>
      <xdr:row>64</xdr:row>
      <xdr:rowOff>8860</xdr:rowOff>
    </xdr:to>
    <xdr:graphicFrame macro="">
      <xdr:nvGraphicFramePr>
        <xdr:cNvPr id="36" name="グラフ 1">
          <a:extLst>
            <a:ext uri="{FF2B5EF4-FFF2-40B4-BE49-F238E27FC236}">
              <a16:creationId xmlns:a16="http://schemas.microsoft.com/office/drawing/2014/main" id="{F3EA2CD9-4E85-459E-BFE2-1520FCE35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53164</xdr:colOff>
      <xdr:row>29</xdr:row>
      <xdr:rowOff>168348</xdr:rowOff>
    </xdr:from>
    <xdr:to>
      <xdr:col>13</xdr:col>
      <xdr:colOff>781613</xdr:colOff>
      <xdr:row>42</xdr:row>
      <xdr:rowOff>38984</xdr:rowOff>
    </xdr:to>
    <xdr:graphicFrame macro="">
      <xdr:nvGraphicFramePr>
        <xdr:cNvPr id="57" name="グラフ 2">
          <a:extLst>
            <a:ext uri="{FF2B5EF4-FFF2-40B4-BE49-F238E27FC236}">
              <a16:creationId xmlns:a16="http://schemas.microsoft.com/office/drawing/2014/main" id="{0D5ACE8D-9A44-441C-9A2D-885590908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196850</xdr:rowOff>
    </xdr:from>
    <xdr:to>
      <xdr:col>4</xdr:col>
      <xdr:colOff>762000</xdr:colOff>
      <xdr:row>44</xdr:row>
      <xdr:rowOff>196850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1D9675C-932C-AE00-F285-261AF6899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953681</xdr:colOff>
      <xdr:row>13</xdr:row>
      <xdr:rowOff>73247</xdr:rowOff>
    </xdr:from>
    <xdr:to>
      <xdr:col>13</xdr:col>
      <xdr:colOff>726263</xdr:colOff>
      <xdr:row>25</xdr:row>
      <xdr:rowOff>165396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B68CEB1-FF08-DAD1-4164-892B68345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92D8-CCC9-1A43-8519-A3A3356B19CD}">
  <dimension ref="A3:AR51"/>
  <sheetViews>
    <sheetView zoomScale="75" zoomScaleNormal="200" workbookViewId="0">
      <selection activeCell="J35" sqref="J35"/>
    </sheetView>
  </sheetViews>
  <sheetFormatPr baseColWidth="10" defaultColWidth="10.7109375" defaultRowHeight="18"/>
  <cols>
    <col min="1" max="17" width="10.7109375" style="3"/>
    <col min="18" max="18" width="8.85546875" style="3" customWidth="1"/>
    <col min="19" max="19" width="5.140625" style="3" customWidth="1"/>
    <col min="20" max="20" width="12.85546875" style="3" customWidth="1"/>
    <col min="21" max="21" width="13.28515625" style="3" customWidth="1"/>
    <col min="22" max="22" width="8.28515625" style="3" customWidth="1"/>
    <col min="23" max="23" width="14.5703125" style="3" bestFit="1" customWidth="1"/>
    <col min="24" max="24" width="15.140625" style="3" bestFit="1" customWidth="1"/>
    <col min="25" max="25" width="10.7109375" style="3"/>
    <col min="26" max="26" width="14.5703125" style="3" bestFit="1" customWidth="1"/>
    <col min="27" max="27" width="15.140625" style="3" bestFit="1" customWidth="1"/>
    <col min="28" max="28" width="10.7109375" style="3"/>
    <col min="29" max="29" width="14.5703125" style="3" bestFit="1" customWidth="1"/>
    <col min="30" max="30" width="15.140625" style="3" bestFit="1" customWidth="1"/>
    <col min="31" max="33" width="10.7109375" style="3"/>
    <col min="34" max="34" width="16.42578125" style="3" bestFit="1" customWidth="1"/>
    <col min="35" max="35" width="12.42578125" style="3" bestFit="1" customWidth="1"/>
    <col min="36" max="16384" width="10.7109375" style="3"/>
  </cols>
  <sheetData>
    <row r="3" spans="1:44">
      <c r="A3" s="2" t="s">
        <v>0</v>
      </c>
      <c r="J3" s="3" t="s">
        <v>1</v>
      </c>
      <c r="T3" s="3" t="s">
        <v>2</v>
      </c>
    </row>
    <row r="4" spans="1:44" ht="19" thickBot="1">
      <c r="A4" s="68" t="s">
        <v>3</v>
      </c>
      <c r="B4" s="64"/>
      <c r="C4" s="63" t="s">
        <v>4</v>
      </c>
      <c r="D4" s="64"/>
      <c r="E4" s="63" t="s">
        <v>5</v>
      </c>
      <c r="F4" s="64"/>
      <c r="G4" s="63" t="s">
        <v>6</v>
      </c>
      <c r="H4" s="66"/>
      <c r="J4" s="68" t="s">
        <v>3</v>
      </c>
      <c r="K4" s="64"/>
      <c r="L4" s="63" t="s">
        <v>4</v>
      </c>
      <c r="M4" s="64"/>
      <c r="N4" s="63" t="s">
        <v>5</v>
      </c>
      <c r="O4" s="64"/>
      <c r="P4" s="65" t="s">
        <v>6</v>
      </c>
      <c r="Q4" s="66"/>
      <c r="T4" s="67" t="s">
        <v>3</v>
      </c>
      <c r="U4" s="67"/>
      <c r="V4" s="60"/>
      <c r="W4" s="66" t="s">
        <v>4</v>
      </c>
      <c r="X4" s="67"/>
      <c r="Y4" s="60"/>
      <c r="Z4" s="66" t="s">
        <v>7</v>
      </c>
      <c r="AA4" s="67"/>
      <c r="AB4" s="60"/>
      <c r="AC4" s="66" t="s">
        <v>8</v>
      </c>
      <c r="AD4" s="67"/>
      <c r="AE4" s="67"/>
      <c r="AG4" s="10" t="s">
        <v>9</v>
      </c>
      <c r="AH4" s="8" t="s">
        <v>10</v>
      </c>
      <c r="AI4" s="5" t="s">
        <v>11</v>
      </c>
      <c r="AJ4" s="6" t="s">
        <v>12</v>
      </c>
      <c r="AL4" s="3" t="s">
        <v>13</v>
      </c>
      <c r="AR4" s="3" t="s">
        <v>14</v>
      </c>
    </row>
    <row r="5" spans="1:44" ht="19" thickBot="1">
      <c r="A5" s="5" t="s">
        <v>15</v>
      </c>
      <c r="B5" s="10" t="s">
        <v>16</v>
      </c>
      <c r="C5" s="8" t="s">
        <v>15</v>
      </c>
      <c r="D5" s="10" t="s">
        <v>16</v>
      </c>
      <c r="E5" s="8" t="s">
        <v>15</v>
      </c>
      <c r="F5" s="10" t="s">
        <v>16</v>
      </c>
      <c r="G5" s="8" t="s">
        <v>15</v>
      </c>
      <c r="H5" s="5" t="s">
        <v>16</v>
      </c>
      <c r="J5" s="6" t="s">
        <v>16</v>
      </c>
      <c r="K5" s="12" t="s">
        <v>17</v>
      </c>
      <c r="L5" s="6" t="s">
        <v>16</v>
      </c>
      <c r="M5" s="13" t="s">
        <v>17</v>
      </c>
      <c r="N5" s="6" t="s">
        <v>16</v>
      </c>
      <c r="O5" s="13" t="s">
        <v>17</v>
      </c>
      <c r="P5" s="6" t="s">
        <v>16</v>
      </c>
      <c r="Q5" s="13" t="s">
        <v>17</v>
      </c>
      <c r="T5" s="5" t="s">
        <v>18</v>
      </c>
      <c r="U5" s="5" t="s">
        <v>19</v>
      </c>
      <c r="V5" s="10" t="s">
        <v>20</v>
      </c>
      <c r="W5" s="8" t="s">
        <v>18</v>
      </c>
      <c r="X5" s="5" t="s">
        <v>19</v>
      </c>
      <c r="Y5" s="10" t="s">
        <v>20</v>
      </c>
      <c r="Z5" s="8" t="s">
        <v>18</v>
      </c>
      <c r="AA5" s="5" t="s">
        <v>19</v>
      </c>
      <c r="AB5" s="10" t="s">
        <v>20</v>
      </c>
      <c r="AC5" s="8" t="s">
        <v>18</v>
      </c>
      <c r="AD5" s="5" t="s">
        <v>19</v>
      </c>
      <c r="AE5" s="5" t="s">
        <v>20</v>
      </c>
      <c r="AG5" s="59" t="s">
        <v>21</v>
      </c>
      <c r="AH5" s="18">
        <f>U6-T6</f>
        <v>5.5</v>
      </c>
      <c r="AI5" s="19">
        <f>V6/2</f>
        <v>1.25</v>
      </c>
      <c r="AJ5" s="52">
        <f t="shared" ref="AJ5:AJ16" si="0">2*(ATAN(AI5/AH5))*(180/PI())</f>
        <v>25.608532130573501</v>
      </c>
      <c r="AK5" s="3" t="s">
        <v>22</v>
      </c>
      <c r="AL5" s="5" t="s">
        <v>21</v>
      </c>
      <c r="AM5" s="5" t="s">
        <v>23</v>
      </c>
      <c r="AN5" s="5" t="s">
        <v>24</v>
      </c>
      <c r="AO5" s="5" t="s">
        <v>25</v>
      </c>
    </row>
    <row r="6" spans="1:44">
      <c r="A6" s="22">
        <v>0</v>
      </c>
      <c r="B6" s="23">
        <v>0</v>
      </c>
      <c r="C6" s="24">
        <v>0</v>
      </c>
      <c r="D6" s="23">
        <v>0</v>
      </c>
      <c r="E6" s="24">
        <v>0</v>
      </c>
      <c r="F6" s="23">
        <v>0</v>
      </c>
      <c r="G6" s="24">
        <v>0</v>
      </c>
      <c r="H6" s="22">
        <v>0</v>
      </c>
      <c r="J6" s="25">
        <v>0</v>
      </c>
      <c r="K6" s="32">
        <v>16.100000000000001</v>
      </c>
      <c r="L6" s="33">
        <v>0</v>
      </c>
      <c r="M6" s="31">
        <v>15.4</v>
      </c>
      <c r="N6" s="27">
        <v>0</v>
      </c>
      <c r="O6" s="31">
        <v>18.7</v>
      </c>
      <c r="P6" s="27">
        <v>0</v>
      </c>
      <c r="Q6" s="34">
        <v>0.1</v>
      </c>
      <c r="T6" s="7">
        <v>4.5</v>
      </c>
      <c r="U6" s="7">
        <v>10</v>
      </c>
      <c r="V6" s="11">
        <v>2.5</v>
      </c>
      <c r="W6" s="9">
        <v>4.7</v>
      </c>
      <c r="X6" s="7">
        <v>10.5</v>
      </c>
      <c r="Y6" s="11">
        <v>2.2000000000000002</v>
      </c>
      <c r="Z6" s="9">
        <v>4.7</v>
      </c>
      <c r="AA6" s="7">
        <v>14</v>
      </c>
      <c r="AB6" s="11">
        <v>4.5999999999999996</v>
      </c>
      <c r="AC6" s="9">
        <v>4.7</v>
      </c>
      <c r="AD6" s="7">
        <v>9</v>
      </c>
      <c r="AE6" s="7">
        <v>2.1</v>
      </c>
      <c r="AF6" s="3" t="s">
        <v>22</v>
      </c>
      <c r="AG6" s="60"/>
      <c r="AH6" s="1">
        <f>U7-T7</f>
        <v>7.5</v>
      </c>
      <c r="AI6" s="4">
        <f>V7/2</f>
        <v>1.4</v>
      </c>
      <c r="AJ6" s="25">
        <f t="shared" si="0"/>
        <v>21.147046837121835</v>
      </c>
      <c r="AL6" s="22">
        <f>AVERAGE(AJ5:AJ7)</f>
        <v>22.348889278496003</v>
      </c>
      <c r="AM6" s="22">
        <f>AVERAGE(AJ8:AJ10)</f>
        <v>20.705088437995538</v>
      </c>
      <c r="AN6" s="22">
        <f>AVERAGE(AJ11:AJ13)</f>
        <v>28.605815811133443</v>
      </c>
      <c r="AO6" s="22">
        <f>AVERAGE(AJ14:AJ16)</f>
        <v>25.134858242303377</v>
      </c>
    </row>
    <row r="7" spans="1:44" ht="19" thickBot="1">
      <c r="A7" s="25">
        <v>0.51</v>
      </c>
      <c r="B7" s="26">
        <v>0</v>
      </c>
      <c r="C7" s="27">
        <v>0.51</v>
      </c>
      <c r="D7" s="26">
        <v>0</v>
      </c>
      <c r="E7" s="27">
        <v>0.51</v>
      </c>
      <c r="F7" s="26">
        <v>0</v>
      </c>
      <c r="G7" s="27">
        <v>0.51</v>
      </c>
      <c r="H7" s="25">
        <v>0</v>
      </c>
      <c r="J7" s="25">
        <v>5.14</v>
      </c>
      <c r="K7" s="32">
        <v>662</v>
      </c>
      <c r="L7" s="33">
        <v>5.35</v>
      </c>
      <c r="M7" s="31">
        <v>32.6</v>
      </c>
      <c r="N7" s="27">
        <v>5.17</v>
      </c>
      <c r="O7" s="31">
        <v>220</v>
      </c>
      <c r="P7" s="27">
        <v>4.9400000000000004</v>
      </c>
      <c r="Q7" s="34">
        <v>348</v>
      </c>
      <c r="T7" s="4">
        <v>4.5</v>
      </c>
      <c r="U7" s="4">
        <v>12</v>
      </c>
      <c r="V7" s="12">
        <v>2.8</v>
      </c>
      <c r="W7" s="1">
        <v>4.7</v>
      </c>
      <c r="X7" s="4">
        <v>12</v>
      </c>
      <c r="Y7" s="12">
        <v>2.8</v>
      </c>
      <c r="Z7" s="1">
        <v>4.7</v>
      </c>
      <c r="AA7" s="4">
        <v>10</v>
      </c>
      <c r="AB7" s="12">
        <v>2.8</v>
      </c>
      <c r="AC7" s="1">
        <v>4.7</v>
      </c>
      <c r="AD7" s="4">
        <v>10</v>
      </c>
      <c r="AE7" s="4">
        <v>2.4</v>
      </c>
      <c r="AG7" s="61"/>
      <c r="AH7" s="8">
        <f>U8-T8</f>
        <v>9.5</v>
      </c>
      <c r="AI7" s="5">
        <f>V8/2</f>
        <v>1.7</v>
      </c>
      <c r="AJ7" s="56">
        <f t="shared" si="0"/>
        <v>20.291088867792674</v>
      </c>
    </row>
    <row r="8" spans="1:44">
      <c r="A8" s="25">
        <v>1.02</v>
      </c>
      <c r="B8" s="26">
        <v>0</v>
      </c>
      <c r="C8" s="27">
        <v>1.0229999999999999</v>
      </c>
      <c r="D8" s="26">
        <v>0</v>
      </c>
      <c r="E8" s="27">
        <v>1.0229999999999999</v>
      </c>
      <c r="F8" s="26">
        <v>0</v>
      </c>
      <c r="G8" s="27">
        <v>1.0229999999999999</v>
      </c>
      <c r="H8" s="25">
        <v>0</v>
      </c>
      <c r="J8" s="25">
        <v>10.029999999999999</v>
      </c>
      <c r="K8" s="32">
        <v>1189</v>
      </c>
      <c r="L8" s="33">
        <v>10.25</v>
      </c>
      <c r="M8" s="31">
        <v>60.8</v>
      </c>
      <c r="N8" s="27">
        <v>10.14</v>
      </c>
      <c r="O8" s="31">
        <v>446</v>
      </c>
      <c r="P8" s="27">
        <v>10.029999999999999</v>
      </c>
      <c r="Q8" s="34">
        <v>635</v>
      </c>
      <c r="T8" s="4">
        <v>4.5</v>
      </c>
      <c r="U8" s="4">
        <v>14</v>
      </c>
      <c r="V8" s="12">
        <v>3.4</v>
      </c>
      <c r="W8" s="1">
        <v>4.7</v>
      </c>
      <c r="X8" s="4">
        <v>14</v>
      </c>
      <c r="Y8" s="12">
        <v>3.1</v>
      </c>
      <c r="Z8" s="1">
        <v>4.7</v>
      </c>
      <c r="AA8" s="4">
        <v>12</v>
      </c>
      <c r="AB8" s="12">
        <v>3.7</v>
      </c>
      <c r="AC8" s="14">
        <v>4.7</v>
      </c>
      <c r="AD8" s="4">
        <v>11</v>
      </c>
      <c r="AE8" s="4">
        <v>2.5</v>
      </c>
      <c r="AG8" s="59" t="s">
        <v>23</v>
      </c>
      <c r="AH8" s="18">
        <f>X6-W6</f>
        <v>5.8</v>
      </c>
      <c r="AI8" s="19">
        <f>Y6/2</f>
        <v>1.1000000000000001</v>
      </c>
      <c r="AJ8" s="52">
        <f t="shared" si="0"/>
        <v>21.477794201810884</v>
      </c>
    </row>
    <row r="9" spans="1:44">
      <c r="A9" s="25">
        <v>1.5</v>
      </c>
      <c r="B9" s="26">
        <v>0</v>
      </c>
      <c r="C9" s="27">
        <v>1.502</v>
      </c>
      <c r="D9" s="26">
        <v>0</v>
      </c>
      <c r="E9" s="27">
        <v>1.502</v>
      </c>
      <c r="F9" s="26">
        <v>0</v>
      </c>
      <c r="G9" s="27">
        <v>1.5029999999999999</v>
      </c>
      <c r="H9" s="25">
        <v>0</v>
      </c>
      <c r="J9" s="25">
        <v>15.15</v>
      </c>
      <c r="K9" s="32">
        <v>1671</v>
      </c>
      <c r="L9" s="33">
        <v>15.32</v>
      </c>
      <c r="M9" s="31">
        <v>82.4</v>
      </c>
      <c r="N9" s="27">
        <v>15</v>
      </c>
      <c r="O9" s="31">
        <v>666</v>
      </c>
      <c r="P9" s="27">
        <v>14.95</v>
      </c>
      <c r="Q9" s="34">
        <v>882</v>
      </c>
      <c r="AG9" s="60"/>
      <c r="AH9" s="1">
        <f>X7-W7</f>
        <v>7.3</v>
      </c>
      <c r="AI9" s="4">
        <f>Y7/2</f>
        <v>1.4</v>
      </c>
      <c r="AJ9" s="25">
        <f t="shared" si="0"/>
        <v>21.712826696124488</v>
      </c>
    </row>
    <row r="10" spans="1:44" ht="19" thickBot="1">
      <c r="A10" s="25">
        <v>2</v>
      </c>
      <c r="B10" s="26">
        <v>0</v>
      </c>
      <c r="C10" s="27">
        <v>2.0089999999999999</v>
      </c>
      <c r="D10" s="26">
        <v>0.01</v>
      </c>
      <c r="E10" s="27">
        <v>1.611</v>
      </c>
      <c r="F10" s="26">
        <v>0.02</v>
      </c>
      <c r="G10" s="27">
        <v>2.069</v>
      </c>
      <c r="H10" s="25">
        <v>0</v>
      </c>
      <c r="J10" s="25">
        <v>20.02</v>
      </c>
      <c r="K10" s="32">
        <v>2147</v>
      </c>
      <c r="L10" s="33">
        <v>20.100000000000001</v>
      </c>
      <c r="M10" s="31">
        <v>108</v>
      </c>
      <c r="N10" s="27">
        <v>20.420000000000002</v>
      </c>
      <c r="O10" s="31">
        <v>901</v>
      </c>
      <c r="P10" s="27">
        <v>20.04</v>
      </c>
      <c r="Q10" s="34">
        <v>1024</v>
      </c>
      <c r="AG10" s="61"/>
      <c r="AH10" s="8">
        <f>X8-W8</f>
        <v>9.3000000000000007</v>
      </c>
      <c r="AI10" s="5">
        <f>Y8/2</f>
        <v>1.55</v>
      </c>
      <c r="AJ10" s="36">
        <f t="shared" si="0"/>
        <v>18.924644416051233</v>
      </c>
    </row>
    <row r="11" spans="1:44" ht="19" thickBot="1">
      <c r="A11" s="25">
        <v>2.09</v>
      </c>
      <c r="B11" s="26">
        <v>0</v>
      </c>
      <c r="C11" s="27">
        <v>2.0979999999999999</v>
      </c>
      <c r="D11" s="26">
        <v>0.01</v>
      </c>
      <c r="E11" s="27">
        <v>1.6970000000000001</v>
      </c>
      <c r="F11" s="26">
        <v>0.13</v>
      </c>
      <c r="G11" s="27">
        <v>2.258</v>
      </c>
      <c r="H11" s="25">
        <v>0</v>
      </c>
      <c r="J11" s="25">
        <v>25.09</v>
      </c>
      <c r="K11" s="32">
        <v>2503</v>
      </c>
      <c r="L11" s="33">
        <v>25.1</v>
      </c>
      <c r="M11" s="31">
        <v>128</v>
      </c>
      <c r="N11" s="27">
        <v>25.5</v>
      </c>
      <c r="O11" s="31">
        <v>1122</v>
      </c>
      <c r="P11" s="27">
        <v>24.97</v>
      </c>
      <c r="Q11" s="34">
        <v>1223</v>
      </c>
      <c r="S11" s="10" t="s">
        <v>9</v>
      </c>
      <c r="T11" s="5" t="s">
        <v>18</v>
      </c>
      <c r="U11" s="5" t="s">
        <v>19</v>
      </c>
      <c r="V11" s="10" t="s">
        <v>20</v>
      </c>
      <c r="AG11" s="59" t="s">
        <v>24</v>
      </c>
      <c r="AH11" s="18">
        <f>AA6-Z6</f>
        <v>9.3000000000000007</v>
      </c>
      <c r="AI11" s="19">
        <f>AB6/2</f>
        <v>2.2999999999999998</v>
      </c>
      <c r="AJ11" s="22">
        <f t="shared" si="0"/>
        <v>27.782382342909713</v>
      </c>
    </row>
    <row r="12" spans="1:44">
      <c r="A12" s="25">
        <v>2.1880000000000002</v>
      </c>
      <c r="B12" s="26">
        <v>0</v>
      </c>
      <c r="C12" s="27">
        <v>2.202</v>
      </c>
      <c r="D12" s="26">
        <v>0.01</v>
      </c>
      <c r="E12" s="27">
        <v>1.7529999999999999</v>
      </c>
      <c r="F12" s="26">
        <v>0.52</v>
      </c>
      <c r="G12" s="27">
        <v>2.4239999999999999</v>
      </c>
      <c r="H12" s="25">
        <v>0.08</v>
      </c>
      <c r="J12" s="25">
        <v>30.15</v>
      </c>
      <c r="K12" s="32">
        <v>2909</v>
      </c>
      <c r="L12" s="33">
        <v>29.62</v>
      </c>
      <c r="M12" s="31">
        <v>136</v>
      </c>
      <c r="N12" s="27">
        <v>29.23</v>
      </c>
      <c r="O12" s="31">
        <v>1278</v>
      </c>
      <c r="P12" s="27">
        <v>30.12</v>
      </c>
      <c r="Q12" s="34">
        <v>1445</v>
      </c>
      <c r="S12" s="59" t="s">
        <v>21</v>
      </c>
      <c r="T12" s="7">
        <v>4.5</v>
      </c>
      <c r="U12" s="7">
        <v>10</v>
      </c>
      <c r="V12" s="11">
        <v>2.5</v>
      </c>
      <c r="AG12" s="60"/>
      <c r="AH12" s="1">
        <f>AA7-Z7</f>
        <v>5.3</v>
      </c>
      <c r="AI12" s="4">
        <f>AB7/2</f>
        <v>1.4</v>
      </c>
      <c r="AJ12" s="25">
        <f t="shared" si="0"/>
        <v>29.593524490114692</v>
      </c>
    </row>
    <row r="13" spans="1:44" ht="19" thickBot="1">
      <c r="A13" s="25">
        <v>2.306</v>
      </c>
      <c r="B13" s="26">
        <v>0</v>
      </c>
      <c r="C13" s="27">
        <v>2.2810000000000001</v>
      </c>
      <c r="D13" s="26">
        <v>0.02</v>
      </c>
      <c r="E13" s="27">
        <v>1.796</v>
      </c>
      <c r="F13" s="26">
        <v>1.1399999999999999</v>
      </c>
      <c r="G13" s="27">
        <v>2.5049999999999999</v>
      </c>
      <c r="H13" s="25">
        <v>0.08</v>
      </c>
      <c r="J13" s="16"/>
      <c r="K13" s="16"/>
      <c r="L13" s="16"/>
      <c r="M13" s="16"/>
      <c r="N13" s="16"/>
      <c r="O13" s="16"/>
      <c r="P13" s="16"/>
      <c r="Q13" s="17"/>
      <c r="S13" s="60"/>
      <c r="T13" s="4">
        <v>4.5</v>
      </c>
      <c r="U13" s="4">
        <v>12</v>
      </c>
      <c r="V13" s="12">
        <v>2.8</v>
      </c>
      <c r="AG13" s="61"/>
      <c r="AH13" s="8">
        <f>AA8-Z8</f>
        <v>7.3</v>
      </c>
      <c r="AI13" s="5">
        <f>AB8/2</f>
        <v>1.85</v>
      </c>
      <c r="AJ13" s="36">
        <f t="shared" si="0"/>
        <v>28.441540600375937</v>
      </c>
    </row>
    <row r="14" spans="1:44" ht="19" thickBot="1">
      <c r="A14" s="25">
        <v>2.3929999999999998</v>
      </c>
      <c r="B14" s="26">
        <v>0.03</v>
      </c>
      <c r="C14" s="27">
        <v>2.39</v>
      </c>
      <c r="D14" s="26">
        <v>0.05</v>
      </c>
      <c r="E14" s="27">
        <v>1.82</v>
      </c>
      <c r="F14" s="26">
        <v>1.74</v>
      </c>
      <c r="G14" s="27">
        <v>2.57</v>
      </c>
      <c r="H14" s="25">
        <v>0.3</v>
      </c>
      <c r="J14" s="15"/>
      <c r="K14" s="15"/>
      <c r="L14" s="15"/>
      <c r="M14" s="15"/>
      <c r="N14" s="15"/>
      <c r="O14" s="15"/>
      <c r="P14" s="15"/>
      <c r="Q14" s="15"/>
      <c r="S14" s="61"/>
      <c r="T14" s="6">
        <v>4.5</v>
      </c>
      <c r="U14" s="6">
        <v>14</v>
      </c>
      <c r="V14" s="13">
        <v>3.4</v>
      </c>
      <c r="AG14" s="62" t="s">
        <v>25</v>
      </c>
      <c r="AH14" s="9">
        <f>AD6-AC6</f>
        <v>4.3</v>
      </c>
      <c r="AI14" s="7">
        <f>AE6/2</f>
        <v>1.05</v>
      </c>
      <c r="AJ14" s="52">
        <f t="shared" si="0"/>
        <v>27.444594266267096</v>
      </c>
    </row>
    <row r="15" spans="1:44">
      <c r="A15" s="25">
        <v>2.4750000000000001</v>
      </c>
      <c r="B15" s="26">
        <v>0.2</v>
      </c>
      <c r="C15" s="27">
        <v>2.5009999999999999</v>
      </c>
      <c r="D15" s="26">
        <v>0.12</v>
      </c>
      <c r="E15" s="27">
        <v>1.84</v>
      </c>
      <c r="F15" s="26">
        <v>2.37</v>
      </c>
      <c r="G15" s="27">
        <v>2.63</v>
      </c>
      <c r="H15" s="25">
        <v>0.79</v>
      </c>
      <c r="J15" s="15"/>
      <c r="K15" s="15"/>
      <c r="L15" s="15"/>
      <c r="M15" s="15"/>
      <c r="N15" s="15"/>
      <c r="O15" s="15"/>
      <c r="P15" s="1">
        <v>0</v>
      </c>
      <c r="Q15" s="4">
        <v>60.3</v>
      </c>
      <c r="S15" s="59" t="s">
        <v>23</v>
      </c>
      <c r="T15" s="57">
        <v>4.7</v>
      </c>
      <c r="U15" s="19">
        <v>10.5</v>
      </c>
      <c r="V15" s="21">
        <v>2.2000000000000002</v>
      </c>
      <c r="AG15" s="60"/>
      <c r="AH15" s="1">
        <f>AD7-AC7</f>
        <v>5.3</v>
      </c>
      <c r="AI15" s="4">
        <f>AE7/2</f>
        <v>1.2</v>
      </c>
      <c r="AJ15" s="25">
        <f t="shared" si="0"/>
        <v>25.515064321753357</v>
      </c>
    </row>
    <row r="16" spans="1:44">
      <c r="A16" s="25">
        <v>2.5289999999999999</v>
      </c>
      <c r="B16" s="26">
        <v>0.67</v>
      </c>
      <c r="C16" s="27">
        <v>2.5779999999999998</v>
      </c>
      <c r="D16" s="26">
        <v>0.23</v>
      </c>
      <c r="E16" s="27">
        <v>1.863</v>
      </c>
      <c r="F16" s="26">
        <v>3.25</v>
      </c>
      <c r="G16" s="27">
        <v>2.6669999999999998</v>
      </c>
      <c r="H16" s="25">
        <v>1.29</v>
      </c>
      <c r="J16" s="15"/>
      <c r="K16" s="15"/>
      <c r="L16" s="15"/>
      <c r="M16" s="15"/>
      <c r="N16" s="15"/>
      <c r="O16" s="15"/>
      <c r="P16" s="1">
        <v>5.57</v>
      </c>
      <c r="Q16" s="4">
        <v>276</v>
      </c>
      <c r="S16" s="60"/>
      <c r="T16" s="14">
        <v>4.7</v>
      </c>
      <c r="U16" s="4">
        <v>12</v>
      </c>
      <c r="V16" s="12">
        <v>2.8</v>
      </c>
      <c r="AG16" s="60"/>
      <c r="AH16" s="14">
        <f>AD8-AC8</f>
        <v>6.3</v>
      </c>
      <c r="AI16" s="4">
        <f>AE8/2</f>
        <v>1.25</v>
      </c>
      <c r="AJ16" s="25">
        <f t="shared" si="0"/>
        <v>22.444916138889671</v>
      </c>
    </row>
    <row r="17" spans="1:22" ht="19" thickBot="1">
      <c r="A17" s="25">
        <v>2.5649999999999999</v>
      </c>
      <c r="B17" s="26">
        <v>1.18</v>
      </c>
      <c r="C17" s="27">
        <v>2.645</v>
      </c>
      <c r="D17" s="26">
        <v>0.43</v>
      </c>
      <c r="E17" s="27">
        <v>1.8819999999999999</v>
      </c>
      <c r="F17" s="26">
        <v>3.95</v>
      </c>
      <c r="G17" s="27">
        <v>2.706</v>
      </c>
      <c r="H17" s="25">
        <v>2.0099999999999998</v>
      </c>
      <c r="J17" s="15"/>
      <c r="K17" s="15"/>
      <c r="L17" s="15"/>
      <c r="M17" s="15"/>
      <c r="N17" s="15"/>
      <c r="O17" s="15"/>
      <c r="P17" s="1">
        <v>10.54</v>
      </c>
      <c r="Q17" s="4">
        <v>482</v>
      </c>
      <c r="S17" s="61"/>
      <c r="T17" s="58">
        <v>4.7</v>
      </c>
      <c r="U17" s="5">
        <v>14</v>
      </c>
      <c r="V17" s="10">
        <v>3.1</v>
      </c>
    </row>
    <row r="18" spans="1:22">
      <c r="A18" s="25">
        <v>2.6019999999999999</v>
      </c>
      <c r="B18" s="26">
        <v>1.9</v>
      </c>
      <c r="C18" s="27">
        <v>2.7149999999999999</v>
      </c>
      <c r="D18" s="26">
        <v>0.8</v>
      </c>
      <c r="E18" s="27">
        <v>1.899</v>
      </c>
      <c r="F18" s="26">
        <v>4.83</v>
      </c>
      <c r="G18" s="27">
        <v>2.74</v>
      </c>
      <c r="H18" s="25">
        <v>2.75</v>
      </c>
      <c r="J18" s="15"/>
      <c r="K18" s="15"/>
      <c r="L18" s="15"/>
      <c r="M18" s="15"/>
      <c r="N18" s="15"/>
      <c r="O18" s="15"/>
      <c r="P18" s="1">
        <v>15.32</v>
      </c>
      <c r="Q18" s="4">
        <v>648</v>
      </c>
      <c r="S18" s="59" t="s">
        <v>24</v>
      </c>
      <c r="T18" s="9">
        <v>4.7</v>
      </c>
      <c r="U18" s="7">
        <v>14</v>
      </c>
      <c r="V18" s="11">
        <v>4.5999999999999996</v>
      </c>
    </row>
    <row r="19" spans="1:22">
      <c r="A19" s="25">
        <v>2.6269999999999998</v>
      </c>
      <c r="B19" s="26">
        <v>2.48</v>
      </c>
      <c r="C19" s="27">
        <v>2.7629999999999999</v>
      </c>
      <c r="D19" s="26">
        <v>1.41</v>
      </c>
      <c r="E19" s="27">
        <v>1.9119999999999999</v>
      </c>
      <c r="F19" s="26">
        <v>5.53</v>
      </c>
      <c r="G19" s="27">
        <v>2.7559999999999998</v>
      </c>
      <c r="H19" s="25">
        <v>3.18</v>
      </c>
      <c r="J19" s="15"/>
      <c r="K19" s="15"/>
      <c r="L19" s="15"/>
      <c r="M19" s="15"/>
      <c r="N19" s="15"/>
      <c r="O19" s="15"/>
      <c r="P19" s="1">
        <v>20.45</v>
      </c>
      <c r="Q19" s="4">
        <v>803</v>
      </c>
      <c r="S19" s="60"/>
      <c r="T19" s="1">
        <v>4.7</v>
      </c>
      <c r="U19" s="4">
        <v>10</v>
      </c>
      <c r="V19" s="12">
        <v>2.8</v>
      </c>
    </row>
    <row r="20" spans="1:22" ht="19" thickBot="1">
      <c r="A20" s="25">
        <v>2.6579999999999999</v>
      </c>
      <c r="B20" s="26">
        <v>3.27</v>
      </c>
      <c r="C20" s="27">
        <v>2.7989999999999999</v>
      </c>
      <c r="D20" s="26">
        <v>2.0099999999999998</v>
      </c>
      <c r="E20" s="27">
        <v>1.925</v>
      </c>
      <c r="F20" s="26">
        <v>6.23</v>
      </c>
      <c r="G20" s="27">
        <v>2.7839999999999998</v>
      </c>
      <c r="H20" s="25">
        <v>4</v>
      </c>
      <c r="J20" s="15"/>
      <c r="K20" s="15"/>
      <c r="L20" s="15"/>
      <c r="M20" s="15"/>
      <c r="N20" s="15"/>
      <c r="O20" s="15"/>
      <c r="P20" s="1">
        <v>25.65</v>
      </c>
      <c r="Q20" s="4">
        <v>945</v>
      </c>
      <c r="S20" s="61"/>
      <c r="T20" s="35">
        <v>4.7</v>
      </c>
      <c r="U20" s="6">
        <v>12</v>
      </c>
      <c r="V20" s="13">
        <v>3.7</v>
      </c>
    </row>
    <row r="21" spans="1:22">
      <c r="A21" s="25">
        <v>2.6819999999999999</v>
      </c>
      <c r="B21" s="26">
        <v>3.98</v>
      </c>
      <c r="C21" s="27">
        <v>2.827</v>
      </c>
      <c r="D21" s="26">
        <v>2.59</v>
      </c>
      <c r="E21" s="27">
        <v>1.9410000000000001</v>
      </c>
      <c r="F21" s="26">
        <v>7.16</v>
      </c>
      <c r="G21" s="27">
        <v>2.8029999999999999</v>
      </c>
      <c r="H21" s="25">
        <v>4.63</v>
      </c>
      <c r="J21" s="15"/>
      <c r="K21" s="15"/>
      <c r="L21" s="15"/>
      <c r="M21" s="15"/>
      <c r="N21" s="15"/>
      <c r="O21" s="15"/>
      <c r="P21" s="1">
        <v>29.81</v>
      </c>
      <c r="Q21" s="4">
        <v>1060</v>
      </c>
      <c r="S21" s="62" t="s">
        <v>25</v>
      </c>
      <c r="T21" s="57">
        <v>4.7</v>
      </c>
      <c r="U21" s="19">
        <v>9</v>
      </c>
      <c r="V21" s="21">
        <v>2.1</v>
      </c>
    </row>
    <row r="22" spans="1:22">
      <c r="A22" s="25">
        <v>2.7050000000000001</v>
      </c>
      <c r="B22" s="26">
        <v>4.72</v>
      </c>
      <c r="C22" s="27">
        <v>2.86</v>
      </c>
      <c r="D22" s="26">
        <v>3.38</v>
      </c>
      <c r="E22" s="27">
        <v>1.952</v>
      </c>
      <c r="F22" s="26">
        <v>7.89</v>
      </c>
      <c r="G22" s="27">
        <v>2.827</v>
      </c>
      <c r="H22" s="25">
        <v>5.49</v>
      </c>
      <c r="J22" s="15"/>
      <c r="K22" s="15"/>
      <c r="L22" s="15"/>
      <c r="M22" s="15"/>
      <c r="N22" s="15"/>
      <c r="O22" s="15"/>
      <c r="P22" s="15"/>
      <c r="Q22" s="15"/>
      <c r="S22" s="60"/>
      <c r="T22" s="14">
        <v>4.7</v>
      </c>
      <c r="U22" s="4">
        <v>10</v>
      </c>
      <c r="V22" s="12">
        <v>2.4</v>
      </c>
    </row>
    <row r="23" spans="1:22" ht="19" thickBot="1">
      <c r="A23" s="25">
        <v>2.7229999999999999</v>
      </c>
      <c r="B23" s="26">
        <v>5.35</v>
      </c>
      <c r="C23" s="27">
        <v>2.8839999999999999</v>
      </c>
      <c r="D23" s="26">
        <v>4.0599999999999996</v>
      </c>
      <c r="E23" s="27">
        <v>1.9670000000000001</v>
      </c>
      <c r="F23" s="26">
        <v>8.83</v>
      </c>
      <c r="G23" s="27">
        <v>2.8460000000000001</v>
      </c>
      <c r="H23" s="25">
        <v>6.23</v>
      </c>
      <c r="J23" s="15"/>
      <c r="K23" s="15"/>
      <c r="L23" s="15"/>
      <c r="M23" s="15"/>
      <c r="N23" s="15"/>
      <c r="O23" s="15"/>
      <c r="P23" s="15"/>
      <c r="Q23" s="15"/>
      <c r="S23" s="60"/>
      <c r="T23" s="58">
        <v>4.7</v>
      </c>
      <c r="U23" s="5">
        <v>11</v>
      </c>
      <c r="V23" s="10">
        <v>2.5</v>
      </c>
    </row>
    <row r="24" spans="1:22">
      <c r="A24" s="25">
        <v>2.7389999999999999</v>
      </c>
      <c r="B24" s="26">
        <v>5.93</v>
      </c>
      <c r="C24" s="27">
        <v>2.9079999999999999</v>
      </c>
      <c r="D24" s="26">
        <v>4.8099999999999996</v>
      </c>
      <c r="E24" s="27">
        <v>1.98</v>
      </c>
      <c r="F24" s="26">
        <v>9.7799999999999994</v>
      </c>
      <c r="G24" s="27">
        <v>2.86</v>
      </c>
      <c r="H24" s="25">
        <v>6.85</v>
      </c>
      <c r="J24" s="15"/>
      <c r="K24" s="15"/>
      <c r="L24" s="15"/>
      <c r="M24" s="15"/>
      <c r="N24" s="15"/>
      <c r="O24" s="15"/>
      <c r="P24" s="15"/>
      <c r="Q24" s="15"/>
    </row>
    <row r="25" spans="1:22">
      <c r="A25" s="25">
        <v>2.7629999999999999</v>
      </c>
      <c r="B25" s="26">
        <v>6.88</v>
      </c>
      <c r="C25" s="27">
        <v>2.9260000000000002</v>
      </c>
      <c r="D25" s="26">
        <v>5.48</v>
      </c>
      <c r="E25" s="27">
        <v>1.9890000000000001</v>
      </c>
      <c r="F25" s="26">
        <v>10.42</v>
      </c>
      <c r="G25" s="27">
        <v>2.879</v>
      </c>
      <c r="H25" s="25">
        <v>7.67</v>
      </c>
      <c r="J25" s="15"/>
      <c r="K25" s="15"/>
      <c r="L25" s="15"/>
      <c r="M25" s="15"/>
      <c r="N25" s="15"/>
      <c r="O25" s="15"/>
      <c r="P25" s="15"/>
      <c r="Q25" s="15"/>
    </row>
    <row r="26" spans="1:22">
      <c r="A26" s="25">
        <v>2.794</v>
      </c>
      <c r="B26" s="26">
        <v>8.31</v>
      </c>
      <c r="C26" s="27">
        <v>2.944</v>
      </c>
      <c r="D26" s="26">
        <v>6.16</v>
      </c>
      <c r="E26" s="27">
        <v>2</v>
      </c>
      <c r="F26" s="26">
        <v>11.23</v>
      </c>
      <c r="G26" s="27">
        <v>2.8980000000000001</v>
      </c>
      <c r="H26" s="25">
        <v>8.61</v>
      </c>
      <c r="J26" s="15"/>
      <c r="K26" s="15"/>
      <c r="L26" s="15"/>
      <c r="M26" s="15"/>
      <c r="N26" s="15"/>
      <c r="O26" s="15"/>
      <c r="P26" s="15"/>
      <c r="Q26" s="15"/>
    </row>
    <row r="27" spans="1:22">
      <c r="A27" s="25">
        <v>2.8279999999999998</v>
      </c>
      <c r="B27" s="26">
        <v>9.84</v>
      </c>
      <c r="C27" s="27">
        <v>2.964</v>
      </c>
      <c r="D27" s="26">
        <v>6.93</v>
      </c>
      <c r="E27" s="27">
        <v>2.0089999999999999</v>
      </c>
      <c r="F27" s="26">
        <v>11.98</v>
      </c>
      <c r="G27" s="27">
        <v>2.9119999999999999</v>
      </c>
      <c r="H27" s="25">
        <v>9.33</v>
      </c>
      <c r="J27" s="15"/>
      <c r="K27" s="15"/>
      <c r="L27" s="15"/>
      <c r="M27" s="15"/>
      <c r="N27" s="15"/>
      <c r="O27" s="15"/>
      <c r="P27" s="15"/>
      <c r="Q27" s="15"/>
    </row>
    <row r="28" spans="1:22">
      <c r="A28" s="25">
        <v>2.843</v>
      </c>
      <c r="B28" s="26">
        <v>10.68</v>
      </c>
      <c r="C28" s="27">
        <v>2.9830000000000001</v>
      </c>
      <c r="D28" s="26">
        <v>7.74</v>
      </c>
      <c r="E28" s="27">
        <v>2.0209999999999999</v>
      </c>
      <c r="F28" s="26">
        <v>12.87</v>
      </c>
      <c r="G28" s="27">
        <v>2.9279999999999999</v>
      </c>
      <c r="H28" s="25">
        <v>10.18</v>
      </c>
      <c r="J28" s="15"/>
      <c r="K28" s="15"/>
      <c r="L28" s="15"/>
      <c r="M28" s="15"/>
      <c r="N28" s="15"/>
      <c r="O28" s="15"/>
      <c r="P28" s="15"/>
      <c r="Q28" s="15"/>
    </row>
    <row r="29" spans="1:22">
      <c r="A29" s="25">
        <v>2.8540000000000001</v>
      </c>
      <c r="B29" s="26">
        <v>11.39</v>
      </c>
      <c r="C29" s="27">
        <v>3.0019999999999998</v>
      </c>
      <c r="D29" s="26">
        <v>8.59</v>
      </c>
      <c r="E29" s="27">
        <v>2.0299999999999998</v>
      </c>
      <c r="F29" s="26">
        <v>13.66</v>
      </c>
      <c r="G29" s="27">
        <v>2.94</v>
      </c>
      <c r="H29" s="25">
        <v>10.88</v>
      </c>
      <c r="J29" s="15"/>
      <c r="K29" s="15"/>
      <c r="L29" s="15"/>
      <c r="M29" s="15"/>
      <c r="N29" s="15"/>
      <c r="O29" s="15"/>
      <c r="P29" s="15"/>
      <c r="Q29" s="15"/>
    </row>
    <row r="30" spans="1:22">
      <c r="A30" s="25">
        <v>2.871</v>
      </c>
      <c r="B30" s="26">
        <v>12.31</v>
      </c>
      <c r="C30" s="27">
        <v>3.0169999999999999</v>
      </c>
      <c r="D30" s="26">
        <v>9.2899999999999991</v>
      </c>
      <c r="E30" s="27">
        <v>2.0409999999999999</v>
      </c>
      <c r="F30" s="26">
        <v>14.59</v>
      </c>
      <c r="G30" s="27">
        <v>2.952</v>
      </c>
      <c r="H30" s="25">
        <v>11.61</v>
      </c>
      <c r="J30" s="15"/>
      <c r="K30" s="15"/>
      <c r="L30" s="15"/>
      <c r="M30" s="15"/>
      <c r="N30" s="15"/>
      <c r="O30" s="15"/>
      <c r="P30" s="15"/>
      <c r="Q30" s="15"/>
    </row>
    <row r="31" spans="1:22">
      <c r="A31" s="25">
        <v>2.8839999999999999</v>
      </c>
      <c r="B31" s="26">
        <v>13.05</v>
      </c>
      <c r="C31" s="27">
        <v>3.0289999999999999</v>
      </c>
      <c r="D31" s="26">
        <v>10</v>
      </c>
      <c r="E31" s="27">
        <v>2.0470000000000002</v>
      </c>
      <c r="F31" s="26">
        <v>15.18</v>
      </c>
      <c r="G31" s="27">
        <v>2.9670000000000001</v>
      </c>
      <c r="H31" s="25">
        <v>12.5</v>
      </c>
      <c r="J31" s="15"/>
      <c r="K31" s="15"/>
      <c r="L31" s="15"/>
      <c r="M31" s="15"/>
      <c r="N31" s="15"/>
      <c r="O31" s="15"/>
      <c r="P31" s="15"/>
      <c r="Q31" s="15"/>
    </row>
    <row r="32" spans="1:22">
      <c r="A32" s="25">
        <v>2.8980000000000001</v>
      </c>
      <c r="B32" s="26">
        <v>13.91</v>
      </c>
      <c r="C32" s="27">
        <v>3.0459999999999998</v>
      </c>
      <c r="D32" s="26">
        <v>10.88</v>
      </c>
      <c r="E32" s="27">
        <v>2.0579999999999998</v>
      </c>
      <c r="F32" s="26">
        <v>16.11</v>
      </c>
      <c r="G32" s="27">
        <v>2.9809999999999999</v>
      </c>
      <c r="H32" s="25">
        <v>13.43</v>
      </c>
    </row>
    <row r="48" spans="1:3" ht="19" thickBot="1">
      <c r="A48" s="5" t="s">
        <v>26</v>
      </c>
      <c r="B48" s="5" t="s">
        <v>27</v>
      </c>
      <c r="C48" s="5" t="s">
        <v>28</v>
      </c>
    </row>
    <row r="49" spans="1:3">
      <c r="A49" s="7" t="s">
        <v>21</v>
      </c>
      <c r="B49" s="7">
        <v>2.31</v>
      </c>
      <c r="C49" s="7">
        <v>0.46760000000000002</v>
      </c>
    </row>
    <row r="50" spans="1:3">
      <c r="A50" s="4" t="s">
        <v>23</v>
      </c>
      <c r="B50" s="4">
        <v>2.1</v>
      </c>
      <c r="C50" s="4">
        <v>0.53059999999999996</v>
      </c>
    </row>
    <row r="51" spans="1:3">
      <c r="A51" s="4" t="s">
        <v>24</v>
      </c>
      <c r="B51" s="4">
        <v>1.7</v>
      </c>
      <c r="C51" s="4">
        <v>0.63560000000000005</v>
      </c>
    </row>
  </sheetData>
  <mergeCells count="20">
    <mergeCell ref="L4:M4"/>
    <mergeCell ref="S12:S14"/>
    <mergeCell ref="S15:S17"/>
    <mergeCell ref="S18:S20"/>
    <mergeCell ref="S21:S23"/>
    <mergeCell ref="A4:B4"/>
    <mergeCell ref="C4:D4"/>
    <mergeCell ref="E4:F4"/>
    <mergeCell ref="G4:H4"/>
    <mergeCell ref="J4:K4"/>
    <mergeCell ref="AG5:AG7"/>
    <mergeCell ref="AG8:AG10"/>
    <mergeCell ref="AG11:AG13"/>
    <mergeCell ref="AG14:AG16"/>
    <mergeCell ref="N4:O4"/>
    <mergeCell ref="P4:Q4"/>
    <mergeCell ref="T4:V4"/>
    <mergeCell ref="W4:Y4"/>
    <mergeCell ref="Z4:AB4"/>
    <mergeCell ref="AC4:AE4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1627-DE74-8947-8614-E66212BFA4CF}">
  <dimension ref="A3:AO43"/>
  <sheetViews>
    <sheetView tabSelected="1" topLeftCell="G1" zoomScale="58" zoomScaleNormal="125" workbookViewId="0">
      <selection activeCell="J4" sqref="J4:Q12"/>
    </sheetView>
  </sheetViews>
  <sheetFormatPr baseColWidth="10" defaultColWidth="10.7109375" defaultRowHeight="18"/>
  <cols>
    <col min="1" max="19" width="10.7109375" style="3"/>
    <col min="20" max="20" width="16.42578125" style="3" bestFit="1" customWidth="1"/>
    <col min="21" max="21" width="15.140625" style="3" bestFit="1" customWidth="1"/>
    <col min="22" max="22" width="10.7109375" style="3"/>
    <col min="23" max="23" width="14.5703125" style="3" bestFit="1" customWidth="1"/>
    <col min="24" max="24" width="15.140625" style="3" bestFit="1" customWidth="1"/>
    <col min="25" max="25" width="10.7109375" style="3"/>
    <col min="26" max="26" width="14.5703125" style="3" bestFit="1" customWidth="1"/>
    <col min="27" max="27" width="15.140625" style="3" bestFit="1" customWidth="1"/>
    <col min="28" max="28" width="10.7109375" style="3"/>
    <col min="29" max="29" width="14.5703125" style="3" bestFit="1" customWidth="1"/>
    <col min="30" max="30" width="15.140625" style="3" bestFit="1" customWidth="1"/>
    <col min="31" max="33" width="10.7109375" style="3"/>
    <col min="34" max="34" width="16.42578125" style="3" bestFit="1" customWidth="1"/>
    <col min="35" max="35" width="12.42578125" style="3" bestFit="1" customWidth="1"/>
    <col min="36" max="16384" width="10.7109375" style="3"/>
  </cols>
  <sheetData>
    <row r="3" spans="1:41">
      <c r="A3" s="2" t="s">
        <v>0</v>
      </c>
      <c r="J3" s="3" t="s">
        <v>1</v>
      </c>
      <c r="T3" s="3" t="s">
        <v>2</v>
      </c>
    </row>
    <row r="4" spans="1:41" ht="19" thickBot="1">
      <c r="A4" s="68" t="s">
        <v>3</v>
      </c>
      <c r="B4" s="64"/>
      <c r="C4" s="63" t="s">
        <v>4</v>
      </c>
      <c r="D4" s="64"/>
      <c r="E4" s="63" t="s">
        <v>29</v>
      </c>
      <c r="F4" s="64"/>
      <c r="G4" s="63" t="s">
        <v>6</v>
      </c>
      <c r="H4" s="66"/>
      <c r="J4" s="68" t="s">
        <v>3</v>
      </c>
      <c r="K4" s="64"/>
      <c r="L4" s="63" t="s">
        <v>4</v>
      </c>
      <c r="M4" s="64"/>
      <c r="N4" s="63" t="s">
        <v>29</v>
      </c>
      <c r="O4" s="64"/>
      <c r="P4" s="65" t="s">
        <v>6</v>
      </c>
      <c r="Q4" s="66"/>
      <c r="T4" s="67" t="s">
        <v>3</v>
      </c>
      <c r="U4" s="67"/>
      <c r="V4" s="60"/>
      <c r="W4" s="66" t="s">
        <v>4</v>
      </c>
      <c r="X4" s="67"/>
      <c r="Y4" s="60"/>
      <c r="Z4" s="66" t="s">
        <v>7</v>
      </c>
      <c r="AA4" s="67"/>
      <c r="AB4" s="60"/>
      <c r="AC4" s="66" t="s">
        <v>8</v>
      </c>
      <c r="AD4" s="67"/>
      <c r="AE4" s="67"/>
      <c r="AG4" s="10" t="s">
        <v>9</v>
      </c>
      <c r="AH4" s="8" t="s">
        <v>10</v>
      </c>
      <c r="AI4" s="5" t="s">
        <v>11</v>
      </c>
      <c r="AJ4" s="5" t="s">
        <v>12</v>
      </c>
      <c r="AL4" s="3" t="s">
        <v>13</v>
      </c>
    </row>
    <row r="5" spans="1:41" ht="19" thickBot="1">
      <c r="A5" s="6" t="s">
        <v>15</v>
      </c>
      <c r="B5" s="13" t="s">
        <v>16</v>
      </c>
      <c r="C5" s="35" t="s">
        <v>15</v>
      </c>
      <c r="D5" s="13" t="s">
        <v>16</v>
      </c>
      <c r="E5" s="35" t="s">
        <v>15</v>
      </c>
      <c r="F5" s="13" t="s">
        <v>16</v>
      </c>
      <c r="G5" s="35" t="s">
        <v>15</v>
      </c>
      <c r="H5" s="6" t="s">
        <v>16</v>
      </c>
      <c r="J5" s="6" t="s">
        <v>16</v>
      </c>
      <c r="K5" s="13" t="s">
        <v>17</v>
      </c>
      <c r="L5" s="6" t="s">
        <v>16</v>
      </c>
      <c r="M5" s="13" t="s">
        <v>17</v>
      </c>
      <c r="N5" s="6" t="s">
        <v>16</v>
      </c>
      <c r="O5" s="13" t="s">
        <v>17</v>
      </c>
      <c r="P5" s="6" t="s">
        <v>16</v>
      </c>
      <c r="Q5" s="5" t="s">
        <v>17</v>
      </c>
      <c r="T5" s="5" t="s">
        <v>18</v>
      </c>
      <c r="U5" s="5" t="s">
        <v>19</v>
      </c>
      <c r="V5" s="10" t="s">
        <v>20</v>
      </c>
      <c r="W5" s="8" t="s">
        <v>18</v>
      </c>
      <c r="X5" s="5" t="s">
        <v>19</v>
      </c>
      <c r="Y5" s="10" t="s">
        <v>20</v>
      </c>
      <c r="Z5" s="8" t="s">
        <v>18</v>
      </c>
      <c r="AA5" s="5" t="s">
        <v>19</v>
      </c>
      <c r="AB5" s="10" t="s">
        <v>20</v>
      </c>
      <c r="AC5" s="8" t="s">
        <v>18</v>
      </c>
      <c r="AD5" s="5" t="s">
        <v>19</v>
      </c>
      <c r="AE5" s="5" t="s">
        <v>20</v>
      </c>
      <c r="AG5" s="59" t="s">
        <v>21</v>
      </c>
      <c r="AH5" s="18">
        <f>U6-T6</f>
        <v>10</v>
      </c>
      <c r="AI5" s="49">
        <f>V6/2</f>
        <v>1.5</v>
      </c>
      <c r="AJ5" s="52">
        <f t="shared" ref="AJ5:AJ16" si="0">2*(ATAN(AI5/AH5))*(180/PI())</f>
        <v>17.061531219896267</v>
      </c>
      <c r="AK5" s="3" t="s">
        <v>22</v>
      </c>
      <c r="AL5" s="5" t="s">
        <v>21</v>
      </c>
      <c r="AM5" s="5" t="s">
        <v>23</v>
      </c>
      <c r="AN5" s="5" t="s">
        <v>24</v>
      </c>
      <c r="AO5" s="5" t="s">
        <v>25</v>
      </c>
    </row>
    <row r="6" spans="1:41">
      <c r="A6" s="25">
        <v>0.498</v>
      </c>
      <c r="B6" s="26">
        <v>0.03</v>
      </c>
      <c r="C6" s="27">
        <v>6.2E-2</v>
      </c>
      <c r="D6" s="26">
        <v>0.03</v>
      </c>
      <c r="E6" s="27">
        <v>0.56999999999999995</v>
      </c>
      <c r="F6" s="26">
        <v>0.03</v>
      </c>
      <c r="G6" s="27">
        <v>0.51200000000000001</v>
      </c>
      <c r="H6" s="25">
        <v>0.03</v>
      </c>
      <c r="J6" s="52">
        <v>0</v>
      </c>
      <c r="K6" s="51">
        <v>0</v>
      </c>
      <c r="L6" s="50">
        <v>0</v>
      </c>
      <c r="M6" s="51">
        <v>0</v>
      </c>
      <c r="N6" s="50">
        <v>0</v>
      </c>
      <c r="O6" s="51">
        <v>0</v>
      </c>
      <c r="P6" s="50">
        <v>0</v>
      </c>
      <c r="Q6" s="52">
        <v>0</v>
      </c>
      <c r="T6" s="7">
        <v>30</v>
      </c>
      <c r="U6" s="7">
        <v>40</v>
      </c>
      <c r="V6" s="55">
        <v>3</v>
      </c>
      <c r="W6" s="9">
        <v>30</v>
      </c>
      <c r="X6" s="7">
        <v>40</v>
      </c>
      <c r="Y6" s="55">
        <v>3</v>
      </c>
      <c r="Z6" s="9">
        <v>30</v>
      </c>
      <c r="AA6" s="7">
        <v>40</v>
      </c>
      <c r="AB6" s="55">
        <v>6</v>
      </c>
      <c r="AC6" s="9">
        <v>30</v>
      </c>
      <c r="AD6" s="7">
        <v>40</v>
      </c>
      <c r="AE6" s="54">
        <v>8</v>
      </c>
      <c r="AF6" s="3" t="s">
        <v>22</v>
      </c>
      <c r="AG6" s="60"/>
      <c r="AH6" s="1">
        <f>U7-T7</f>
        <v>60</v>
      </c>
      <c r="AI6" s="34">
        <f>V7/2</f>
        <v>11.5</v>
      </c>
      <c r="AJ6" s="25">
        <f t="shared" si="0"/>
        <v>21.700209259594754</v>
      </c>
      <c r="AL6" s="22">
        <f>AVERAGE(AJ5:AJ7)</f>
        <v>19.846485370143416</v>
      </c>
      <c r="AM6" s="22">
        <f>AVERAGE(AJ8:AJ10)</f>
        <v>18.303606683999579</v>
      </c>
      <c r="AN6" s="22">
        <f>AVERAGE(AJ11:AJ13)</f>
        <v>30.444603253371771</v>
      </c>
      <c r="AO6" s="22">
        <f>AVERAGE(AJ14:AJ16)</f>
        <v>44.68767452096602</v>
      </c>
    </row>
    <row r="7" spans="1:41" ht="19" thickBot="1">
      <c r="A7" s="25">
        <v>1.08</v>
      </c>
      <c r="B7" s="26">
        <v>0.03</v>
      </c>
      <c r="C7" s="27">
        <v>0.55300000000000005</v>
      </c>
      <c r="D7" s="26">
        <v>0.03</v>
      </c>
      <c r="E7" s="27">
        <v>0.93</v>
      </c>
      <c r="F7" s="26">
        <v>0.03</v>
      </c>
      <c r="G7" s="27">
        <v>1.504</v>
      </c>
      <c r="H7" s="25">
        <v>0.03</v>
      </c>
      <c r="J7" s="25">
        <v>4.99</v>
      </c>
      <c r="K7" s="26">
        <v>297.8</v>
      </c>
      <c r="L7" s="27">
        <v>5.15</v>
      </c>
      <c r="M7" s="26">
        <v>42.61</v>
      </c>
      <c r="N7" s="27">
        <v>5.15</v>
      </c>
      <c r="O7" s="26">
        <v>100.96</v>
      </c>
      <c r="P7" s="27">
        <v>4.96</v>
      </c>
      <c r="Q7" s="25">
        <v>238.7</v>
      </c>
      <c r="T7" s="4">
        <v>30</v>
      </c>
      <c r="U7" s="4">
        <v>90</v>
      </c>
      <c r="V7" s="12">
        <v>23</v>
      </c>
      <c r="W7" s="1">
        <v>30</v>
      </c>
      <c r="X7" s="4">
        <v>90</v>
      </c>
      <c r="Y7" s="12">
        <v>20</v>
      </c>
      <c r="Z7" s="1">
        <v>30</v>
      </c>
      <c r="AA7" s="4">
        <v>45</v>
      </c>
      <c r="AB7" s="31">
        <v>8</v>
      </c>
      <c r="AC7" s="1">
        <v>30</v>
      </c>
      <c r="AD7" s="4">
        <v>45</v>
      </c>
      <c r="AE7" s="4">
        <v>13</v>
      </c>
      <c r="AG7" s="61"/>
      <c r="AH7" s="8">
        <f>U8-T8</f>
        <v>90</v>
      </c>
      <c r="AI7" s="53">
        <f>V8/2</f>
        <v>16.5</v>
      </c>
      <c r="AJ7" s="36">
        <f t="shared" si="0"/>
        <v>20.777715630939223</v>
      </c>
    </row>
    <row r="8" spans="1:41">
      <c r="A8" s="25">
        <v>1.5609999999999999</v>
      </c>
      <c r="B8" s="26">
        <v>0.03</v>
      </c>
      <c r="C8" s="27">
        <v>1.0449999999999999</v>
      </c>
      <c r="D8" s="26">
        <v>0.03</v>
      </c>
      <c r="E8" s="27">
        <v>1.548</v>
      </c>
      <c r="F8" s="26">
        <v>0.03</v>
      </c>
      <c r="G8" s="27">
        <v>2.363</v>
      </c>
      <c r="H8" s="25">
        <v>0.03</v>
      </c>
      <c r="J8" s="25">
        <v>9.98</v>
      </c>
      <c r="K8" s="26">
        <v>519</v>
      </c>
      <c r="L8" s="27">
        <v>10.06</v>
      </c>
      <c r="M8" s="26">
        <v>76.5</v>
      </c>
      <c r="N8" s="27">
        <v>10.09</v>
      </c>
      <c r="O8" s="26">
        <v>229.1</v>
      </c>
      <c r="P8" s="27">
        <v>10.06</v>
      </c>
      <c r="Q8" s="25">
        <v>451.5</v>
      </c>
      <c r="T8" s="4">
        <v>30</v>
      </c>
      <c r="U8" s="4">
        <v>120</v>
      </c>
      <c r="V8" s="12">
        <v>33</v>
      </c>
      <c r="W8" s="1">
        <v>30</v>
      </c>
      <c r="X8" s="4">
        <v>120</v>
      </c>
      <c r="Y8" s="12">
        <v>30</v>
      </c>
      <c r="Z8" s="1">
        <v>30</v>
      </c>
      <c r="AA8" s="4">
        <v>50</v>
      </c>
      <c r="AB8" s="12">
        <v>10</v>
      </c>
      <c r="AC8" s="14">
        <v>30</v>
      </c>
      <c r="AD8" s="4">
        <v>50</v>
      </c>
      <c r="AE8" s="4">
        <v>16</v>
      </c>
      <c r="AG8" s="59" t="s">
        <v>23</v>
      </c>
      <c r="AH8" s="18">
        <f>X6-W6</f>
        <v>10</v>
      </c>
      <c r="AI8" s="49">
        <f>Y6/2</f>
        <v>1.5</v>
      </c>
      <c r="AJ8" s="52">
        <f t="shared" si="0"/>
        <v>17.061531219896267</v>
      </c>
    </row>
    <row r="9" spans="1:41">
      <c r="A9" s="25">
        <v>2.02</v>
      </c>
      <c r="B9" s="26">
        <v>0.03</v>
      </c>
      <c r="C9" s="27">
        <v>1.55</v>
      </c>
      <c r="D9" s="26">
        <v>0.03</v>
      </c>
      <c r="E9" s="27">
        <v>1.6659999999999999</v>
      </c>
      <c r="F9" s="26">
        <v>0.11</v>
      </c>
      <c r="G9" s="27">
        <v>2.5019999999999998</v>
      </c>
      <c r="H9" s="25">
        <v>0.1</v>
      </c>
      <c r="J9" s="25">
        <v>14.83</v>
      </c>
      <c r="K9" s="26">
        <v>788.3</v>
      </c>
      <c r="L9" s="27">
        <v>15.23</v>
      </c>
      <c r="M9" s="26">
        <v>107.34</v>
      </c>
      <c r="N9" s="27">
        <v>15.06</v>
      </c>
      <c r="O9" s="26">
        <v>384.1</v>
      </c>
      <c r="P9" s="27">
        <v>14.95</v>
      </c>
      <c r="Q9" s="25">
        <v>629.9</v>
      </c>
      <c r="AG9" s="60"/>
      <c r="AH9" s="1">
        <f>X7-W7</f>
        <v>60</v>
      </c>
      <c r="AI9" s="34">
        <f>Y7/2</f>
        <v>10</v>
      </c>
      <c r="AJ9" s="25">
        <f t="shared" si="0"/>
        <v>18.924644416051233</v>
      </c>
    </row>
    <row r="10" spans="1:41" ht="19" thickBot="1">
      <c r="A10" s="25">
        <v>2.3679999999999999</v>
      </c>
      <c r="B10" s="26">
        <v>0.03</v>
      </c>
      <c r="C10" s="27">
        <v>2.02</v>
      </c>
      <c r="D10" s="26">
        <v>0.03</v>
      </c>
      <c r="E10" s="27">
        <v>1.7070000000000001</v>
      </c>
      <c r="F10" s="26">
        <v>0.23</v>
      </c>
      <c r="G10" s="27">
        <v>2.6080000000000001</v>
      </c>
      <c r="H10" s="25">
        <v>0.51</v>
      </c>
      <c r="J10" s="25">
        <v>20</v>
      </c>
      <c r="K10" s="26">
        <v>1378.5</v>
      </c>
      <c r="L10" s="27">
        <v>20.05</v>
      </c>
      <c r="M10" s="26">
        <v>132.63999999999999</v>
      </c>
      <c r="N10" s="27">
        <v>20.350000000000001</v>
      </c>
      <c r="O10" s="26">
        <v>528.20000000000005</v>
      </c>
      <c r="P10" s="27">
        <v>20.05</v>
      </c>
      <c r="Q10" s="25">
        <v>826.1</v>
      </c>
      <c r="AG10" s="61"/>
      <c r="AH10" s="8">
        <f>X8-W8</f>
        <v>90</v>
      </c>
      <c r="AI10" s="53">
        <f>Y8/2</f>
        <v>15</v>
      </c>
      <c r="AJ10" s="36">
        <f t="shared" si="0"/>
        <v>18.924644416051233</v>
      </c>
    </row>
    <row r="11" spans="1:41">
      <c r="A11" s="25">
        <v>2.4500000000000002</v>
      </c>
      <c r="B11" s="26">
        <v>0.2</v>
      </c>
      <c r="C11" s="27">
        <v>2.3889999999999998</v>
      </c>
      <c r="D11" s="26">
        <v>0.05</v>
      </c>
      <c r="E11" s="27">
        <v>1.72</v>
      </c>
      <c r="F11" s="26">
        <v>0.59</v>
      </c>
      <c r="G11" s="27">
        <v>2.669</v>
      </c>
      <c r="H11" s="25">
        <v>1.07</v>
      </c>
      <c r="J11" s="25">
        <v>25.36</v>
      </c>
      <c r="K11" s="26">
        <v>1591.5</v>
      </c>
      <c r="L11" s="27">
        <v>25.17</v>
      </c>
      <c r="M11" s="26">
        <v>152.4</v>
      </c>
      <c r="N11" s="27">
        <v>24.91</v>
      </c>
      <c r="O11" s="26">
        <v>587.79999999999995</v>
      </c>
      <c r="P11" s="27">
        <v>25.05</v>
      </c>
      <c r="Q11" s="25">
        <v>981.5</v>
      </c>
      <c r="AG11" s="59" t="s">
        <v>24</v>
      </c>
      <c r="AH11" s="18">
        <f>AA6-Z6</f>
        <v>10</v>
      </c>
      <c r="AI11" s="49">
        <f>AB6/2</f>
        <v>3</v>
      </c>
      <c r="AJ11" s="52">
        <f t="shared" si="0"/>
        <v>33.398488467987242</v>
      </c>
    </row>
    <row r="12" spans="1:41">
      <c r="A12" s="25">
        <v>2.5049999999999999</v>
      </c>
      <c r="B12" s="26">
        <v>0.48</v>
      </c>
      <c r="C12" s="27">
        <v>2.5470000000000002</v>
      </c>
      <c r="D12" s="26">
        <v>0.15</v>
      </c>
      <c r="E12" s="27">
        <v>1.8069999999999999</v>
      </c>
      <c r="F12" s="26">
        <v>1.72</v>
      </c>
      <c r="G12" s="27">
        <v>2.7440000000000002</v>
      </c>
      <c r="H12" s="25">
        <v>2.15</v>
      </c>
      <c r="J12" s="25">
        <v>30.21</v>
      </c>
      <c r="K12" s="26">
        <v>2079</v>
      </c>
      <c r="L12" s="27">
        <v>30.85</v>
      </c>
      <c r="M12" s="26">
        <v>184.2</v>
      </c>
      <c r="N12" s="27">
        <v>30.31</v>
      </c>
      <c r="O12" s="26">
        <v>878</v>
      </c>
      <c r="P12" s="27">
        <v>29.07</v>
      </c>
      <c r="Q12" s="25">
        <v>1077.9000000000001</v>
      </c>
      <c r="AG12" s="60"/>
      <c r="AH12" s="1">
        <f>AA7-Z7</f>
        <v>15</v>
      </c>
      <c r="AI12" s="34">
        <f>AB7/2</f>
        <v>4</v>
      </c>
      <c r="AJ12" s="25">
        <f t="shared" si="0"/>
        <v>29.862834356275105</v>
      </c>
    </row>
    <row r="13" spans="1:41" ht="19" thickBot="1">
      <c r="A13" s="25">
        <v>2.5499999999999998</v>
      </c>
      <c r="B13" s="26">
        <v>1.1000000000000001</v>
      </c>
      <c r="C13" s="27">
        <v>2.6</v>
      </c>
      <c r="D13" s="26">
        <v>0.24</v>
      </c>
      <c r="E13" s="27">
        <v>1.8540000000000001</v>
      </c>
      <c r="F13" s="26">
        <v>3.54</v>
      </c>
      <c r="G13" s="27">
        <v>2.8109999999999999</v>
      </c>
      <c r="H13" s="25">
        <v>3.55</v>
      </c>
      <c r="J13" s="16"/>
      <c r="K13" s="16"/>
      <c r="L13" s="16"/>
      <c r="M13" s="16"/>
      <c r="N13" s="16"/>
      <c r="O13" s="16"/>
      <c r="P13" s="16"/>
      <c r="Q13" s="17"/>
      <c r="AG13" s="61"/>
      <c r="AH13" s="8">
        <f>AA8-Z8</f>
        <v>20</v>
      </c>
      <c r="AI13" s="53">
        <f>AB8/2</f>
        <v>5</v>
      </c>
      <c r="AJ13" s="36">
        <f t="shared" si="0"/>
        <v>28.072486935852957</v>
      </c>
    </row>
    <row r="14" spans="1:41">
      <c r="A14" s="25">
        <v>2.6030000000000002</v>
      </c>
      <c r="B14" s="26">
        <v>2.02</v>
      </c>
      <c r="C14" s="27">
        <v>2.653</v>
      </c>
      <c r="D14" s="26">
        <v>0.42</v>
      </c>
      <c r="E14" s="27">
        <v>1.873</v>
      </c>
      <c r="F14" s="26">
        <v>4.9800000000000004</v>
      </c>
      <c r="G14" s="27">
        <v>2.855</v>
      </c>
      <c r="H14" s="25">
        <v>4.72</v>
      </c>
      <c r="J14" s="15"/>
      <c r="K14" s="15"/>
      <c r="L14" s="15"/>
      <c r="M14" s="15"/>
      <c r="N14" s="15"/>
      <c r="O14" s="15"/>
      <c r="P14" s="15"/>
      <c r="Q14" s="15"/>
      <c r="AG14" s="62" t="s">
        <v>25</v>
      </c>
      <c r="AH14" s="9">
        <f>AD6-AC6</f>
        <v>10</v>
      </c>
      <c r="AI14" s="54">
        <f>AE6/2</f>
        <v>4</v>
      </c>
      <c r="AJ14" s="22">
        <f t="shared" si="0"/>
        <v>43.602818972703624</v>
      </c>
    </row>
    <row r="15" spans="1:41">
      <c r="A15" s="25">
        <v>2.65</v>
      </c>
      <c r="B15" s="26">
        <v>3.35</v>
      </c>
      <c r="C15" s="27">
        <v>2.7</v>
      </c>
      <c r="D15" s="26">
        <v>0.7</v>
      </c>
      <c r="E15" s="27">
        <v>1.901</v>
      </c>
      <c r="F15" s="26">
        <v>6.13</v>
      </c>
      <c r="G15" s="27">
        <v>2.9329999999999998</v>
      </c>
      <c r="H15" s="25">
        <v>7.35</v>
      </c>
      <c r="J15" s="15"/>
      <c r="K15" s="15"/>
      <c r="L15" s="15"/>
      <c r="M15" s="15"/>
      <c r="N15" s="15"/>
      <c r="O15" s="15"/>
      <c r="P15" s="15"/>
      <c r="Q15" s="15"/>
      <c r="AG15" s="60"/>
      <c r="AH15" s="1">
        <f>AD7-AC7</f>
        <v>15</v>
      </c>
      <c r="AI15" s="34">
        <f>AE7/2</f>
        <v>6.5</v>
      </c>
      <c r="AJ15" s="25">
        <f t="shared" si="0"/>
        <v>46.857385617490806</v>
      </c>
    </row>
    <row r="16" spans="1:41">
      <c r="A16" s="25">
        <v>2.702</v>
      </c>
      <c r="B16" s="26">
        <v>4.75</v>
      </c>
      <c r="C16" s="27">
        <v>2.8</v>
      </c>
      <c r="D16" s="26">
        <v>1.88</v>
      </c>
      <c r="E16" s="27">
        <v>1.9359999999999999</v>
      </c>
      <c r="F16" s="26">
        <v>8.3000000000000007</v>
      </c>
      <c r="G16" s="27">
        <v>3.0049999999999999</v>
      </c>
      <c r="H16" s="25">
        <v>10.4</v>
      </c>
      <c r="J16" s="15"/>
      <c r="K16" s="15"/>
      <c r="L16" s="15"/>
      <c r="M16" s="15"/>
      <c r="N16" s="15"/>
      <c r="O16" s="15"/>
      <c r="P16" s="15"/>
      <c r="Q16" s="15"/>
      <c r="AG16" s="60"/>
      <c r="AH16" s="14">
        <f>AD8-AC8</f>
        <v>20</v>
      </c>
      <c r="AI16" s="34">
        <f>AE8/2</f>
        <v>8</v>
      </c>
      <c r="AJ16" s="25">
        <f t="shared" si="0"/>
        <v>43.602818972703624</v>
      </c>
    </row>
    <row r="17" spans="1:17">
      <c r="A17" s="25">
        <v>2.8050000000000002</v>
      </c>
      <c r="B17" s="26">
        <v>8.5299999999999994</v>
      </c>
      <c r="C17" s="27">
        <v>2.85</v>
      </c>
      <c r="D17" s="26">
        <v>2.9</v>
      </c>
      <c r="E17" s="27">
        <v>2.0270000000000001</v>
      </c>
      <c r="F17" s="26">
        <v>15.98</v>
      </c>
      <c r="G17" s="27">
        <v>3.109</v>
      </c>
      <c r="H17" s="25">
        <v>16.2</v>
      </c>
      <c r="J17" s="15"/>
      <c r="K17" s="15"/>
      <c r="L17" s="15"/>
      <c r="M17" s="15"/>
      <c r="N17" s="15"/>
      <c r="O17" s="15"/>
      <c r="P17" s="15"/>
      <c r="Q17" s="15"/>
    </row>
    <row r="18" spans="1:17">
      <c r="A18" s="25">
        <v>2.9</v>
      </c>
      <c r="B18" s="26">
        <v>14.34</v>
      </c>
      <c r="C18" s="27">
        <v>3.0579999999999998</v>
      </c>
      <c r="D18" s="26">
        <v>9.94</v>
      </c>
      <c r="E18" s="27">
        <v>2.0910000000000002</v>
      </c>
      <c r="F18" s="26">
        <v>23.09</v>
      </c>
      <c r="G18" s="27">
        <v>3.1520000000000001</v>
      </c>
      <c r="H18" s="25">
        <v>19.170000000000002</v>
      </c>
      <c r="J18" s="15"/>
      <c r="K18" s="15"/>
      <c r="L18" s="15"/>
      <c r="M18" s="15"/>
      <c r="N18" s="15"/>
      <c r="O18" s="15"/>
      <c r="P18" s="15"/>
      <c r="Q18" s="15"/>
    </row>
    <row r="19" spans="1:17">
      <c r="A19" s="25">
        <v>3.0070000000000001</v>
      </c>
      <c r="B19" s="26">
        <v>21.72</v>
      </c>
      <c r="C19" s="27">
        <v>3.2040000000000002</v>
      </c>
      <c r="D19" s="26">
        <v>15.47</v>
      </c>
      <c r="E19" s="27">
        <v>2.1080000000000001</v>
      </c>
      <c r="F19" s="26">
        <v>25.22</v>
      </c>
      <c r="G19" s="27">
        <v>3.2189999999999999</v>
      </c>
      <c r="H19" s="25">
        <v>24.28</v>
      </c>
      <c r="J19" s="15"/>
      <c r="K19" s="15"/>
      <c r="L19" s="15"/>
      <c r="M19" s="15"/>
      <c r="N19" s="15"/>
      <c r="O19" s="15"/>
      <c r="P19" s="15"/>
      <c r="Q19" s="15"/>
    </row>
    <row r="20" spans="1:17">
      <c r="A20" s="25">
        <v>3.1030000000000002</v>
      </c>
      <c r="B20" s="26">
        <v>30.32</v>
      </c>
      <c r="C20" s="27">
        <v>3.3140000000000001</v>
      </c>
      <c r="D20" s="26">
        <v>20.48</v>
      </c>
      <c r="E20" s="27">
        <v>2.1469999999999998</v>
      </c>
      <c r="F20" s="26">
        <v>30.49</v>
      </c>
      <c r="G20" s="27">
        <v>3.2719999999999998</v>
      </c>
      <c r="H20" s="25">
        <v>30.03</v>
      </c>
      <c r="J20" s="15"/>
      <c r="K20" s="15"/>
      <c r="L20" s="15"/>
      <c r="M20" s="15"/>
      <c r="N20" s="15"/>
      <c r="O20" s="15"/>
      <c r="P20" s="15"/>
      <c r="Q20" s="15"/>
    </row>
    <row r="21" spans="1:17">
      <c r="A21" s="41"/>
      <c r="B21" s="42"/>
      <c r="C21" s="27">
        <v>3.4</v>
      </c>
      <c r="D21" s="26">
        <v>25.94</v>
      </c>
      <c r="E21" s="45"/>
      <c r="F21" s="42"/>
      <c r="G21" s="46"/>
      <c r="H21" s="41"/>
      <c r="J21" s="15"/>
      <c r="K21" s="15"/>
      <c r="L21" s="15"/>
      <c r="M21" s="15"/>
      <c r="N21" s="15"/>
      <c r="O21" s="15"/>
      <c r="P21" s="15"/>
      <c r="Q21" s="15"/>
    </row>
    <row r="22" spans="1:17" ht="19" thickBot="1">
      <c r="A22" s="43"/>
      <c r="B22" s="44"/>
      <c r="C22" s="37">
        <v>3.4449999999999998</v>
      </c>
      <c r="D22" s="38">
        <v>29.97</v>
      </c>
      <c r="E22" s="47"/>
      <c r="F22" s="44"/>
      <c r="G22" s="48"/>
      <c r="H22" s="43"/>
      <c r="I22" s="15"/>
      <c r="J22" s="15"/>
      <c r="K22" s="15"/>
      <c r="L22" s="15"/>
      <c r="M22" s="15"/>
      <c r="N22" s="15"/>
      <c r="O22" s="15"/>
      <c r="P22" s="15"/>
      <c r="Q22" s="15"/>
    </row>
    <row r="23" spans="1:17">
      <c r="A23" s="40"/>
      <c r="B23" s="39"/>
      <c r="C23" s="39"/>
      <c r="D23" s="39"/>
      <c r="E23" s="39"/>
      <c r="F23" s="39"/>
      <c r="G23" s="39"/>
      <c r="H23" s="39"/>
      <c r="J23" s="15"/>
      <c r="K23" s="15"/>
      <c r="L23" s="15"/>
      <c r="M23" s="15"/>
      <c r="N23" s="15"/>
      <c r="O23" s="15"/>
      <c r="P23" s="15"/>
      <c r="Q23" s="15"/>
    </row>
    <row r="24" spans="1:17">
      <c r="A24" s="15"/>
      <c r="B24" s="15"/>
      <c r="C24" s="15"/>
      <c r="D24" s="15"/>
      <c r="E24" s="15"/>
      <c r="F24" s="15"/>
      <c r="G24" s="15"/>
      <c r="H24" s="15"/>
      <c r="J24" s="15"/>
      <c r="K24" s="15"/>
      <c r="L24" s="15"/>
      <c r="M24" s="15"/>
      <c r="N24" s="15"/>
      <c r="O24" s="15"/>
      <c r="P24" s="15"/>
      <c r="Q24" s="15"/>
    </row>
    <row r="25" spans="1:17">
      <c r="A25" s="15"/>
      <c r="B25" s="15"/>
      <c r="C25" s="15"/>
      <c r="D25" s="15"/>
      <c r="E25" s="15"/>
      <c r="F25" s="15"/>
      <c r="G25" s="15"/>
      <c r="H25" s="15"/>
      <c r="J25" s="15"/>
      <c r="K25" s="15"/>
      <c r="L25" s="15"/>
      <c r="M25" s="15"/>
      <c r="N25" s="15"/>
      <c r="O25" s="15"/>
      <c r="P25" s="15"/>
      <c r="Q25" s="15"/>
    </row>
    <row r="26" spans="1:17">
      <c r="A26" s="15"/>
      <c r="B26" s="15"/>
      <c r="C26" s="15"/>
      <c r="D26" s="15"/>
      <c r="E26" s="15"/>
      <c r="F26" s="15"/>
      <c r="G26" s="15"/>
      <c r="H26" s="15"/>
      <c r="J26" s="15"/>
      <c r="K26" s="15"/>
      <c r="L26" s="15"/>
      <c r="M26" s="15"/>
      <c r="N26" s="15"/>
      <c r="O26" s="15"/>
      <c r="P26" s="15"/>
      <c r="Q26" s="15"/>
    </row>
    <row r="27" spans="1:17">
      <c r="A27" s="15"/>
      <c r="B27" s="15"/>
      <c r="C27" s="15"/>
      <c r="D27" s="15"/>
      <c r="E27" s="15"/>
      <c r="F27" s="15"/>
      <c r="G27" s="15"/>
      <c r="H27" s="15"/>
      <c r="J27" s="15"/>
      <c r="K27" s="15"/>
      <c r="L27" s="15"/>
      <c r="M27" s="15"/>
      <c r="N27" s="15"/>
      <c r="O27" s="15"/>
      <c r="P27" s="15"/>
      <c r="Q27" s="15"/>
    </row>
    <row r="28" spans="1:17">
      <c r="A28" s="15"/>
      <c r="B28" s="15"/>
      <c r="C28" s="15"/>
      <c r="D28" s="15"/>
      <c r="E28" s="15"/>
      <c r="F28" s="15"/>
      <c r="G28" s="15"/>
      <c r="H28" s="15"/>
      <c r="J28" s="15"/>
      <c r="K28" s="15"/>
      <c r="L28" s="15"/>
      <c r="M28" s="15"/>
      <c r="N28" s="15"/>
      <c r="O28" s="15"/>
      <c r="P28" s="15"/>
      <c r="Q28" s="15"/>
    </row>
    <row r="29" spans="1:17">
      <c r="A29" s="15"/>
      <c r="B29" s="15"/>
      <c r="C29" s="15"/>
      <c r="D29" s="15"/>
      <c r="E29" s="15"/>
      <c r="F29" s="15"/>
      <c r="G29" s="15"/>
      <c r="H29" s="15"/>
      <c r="J29" s="15"/>
      <c r="K29" s="15"/>
      <c r="L29" s="15"/>
      <c r="M29" s="15"/>
      <c r="N29" s="15"/>
      <c r="O29" s="15"/>
      <c r="P29" s="15"/>
      <c r="Q29" s="15"/>
    </row>
    <row r="30" spans="1:17">
      <c r="A30" s="15"/>
      <c r="B30" s="15"/>
      <c r="C30" s="15"/>
      <c r="D30" s="15"/>
      <c r="E30" s="15"/>
      <c r="F30" s="15"/>
      <c r="G30" s="15"/>
      <c r="H30" s="15"/>
      <c r="J30" s="15"/>
      <c r="K30" s="15"/>
      <c r="L30" s="15"/>
      <c r="M30" s="15"/>
      <c r="N30" s="15"/>
      <c r="O30" s="15"/>
      <c r="P30" s="15"/>
      <c r="Q30" s="15"/>
    </row>
    <row r="31" spans="1:17">
      <c r="A31" s="15"/>
      <c r="B31" s="15"/>
      <c r="C31" s="15"/>
      <c r="D31" s="15"/>
      <c r="E31" s="15"/>
      <c r="G31" s="15"/>
      <c r="H31" s="15"/>
      <c r="J31" s="15"/>
      <c r="K31" s="15"/>
      <c r="L31" s="15"/>
      <c r="M31" s="15"/>
      <c r="N31" s="15"/>
      <c r="O31" s="15"/>
      <c r="P31" s="15"/>
      <c r="Q31" s="15"/>
    </row>
    <row r="32" spans="1:17">
      <c r="A32" s="15"/>
      <c r="B32" s="15"/>
      <c r="C32" s="15"/>
      <c r="D32" s="15"/>
      <c r="E32" s="15"/>
      <c r="F32" s="15"/>
      <c r="G32" s="15"/>
      <c r="H32" s="15"/>
    </row>
    <row r="43" spans="6:6">
      <c r="F43" s="3" t="s">
        <v>30</v>
      </c>
    </row>
  </sheetData>
  <mergeCells count="16">
    <mergeCell ref="L4:M4"/>
    <mergeCell ref="A4:B4"/>
    <mergeCell ref="C4:D4"/>
    <mergeCell ref="E4:F4"/>
    <mergeCell ref="G4:H4"/>
    <mergeCell ref="J4:K4"/>
    <mergeCell ref="AG5:AG7"/>
    <mergeCell ref="AG8:AG10"/>
    <mergeCell ref="AG11:AG13"/>
    <mergeCell ref="AG14:AG16"/>
    <mergeCell ref="N4:O4"/>
    <mergeCell ref="P4:Q4"/>
    <mergeCell ref="T4:V4"/>
    <mergeCell ref="W4:Y4"/>
    <mergeCell ref="Z4:AB4"/>
    <mergeCell ref="AC4:AE4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A26A-A931-0746-9B59-D7EA19C397E6}">
  <dimension ref="A3:AO32"/>
  <sheetViews>
    <sheetView topLeftCell="J1" zoomScaleNormal="169" workbookViewId="0">
      <selection activeCell="E5" sqref="E5"/>
    </sheetView>
  </sheetViews>
  <sheetFormatPr baseColWidth="10" defaultColWidth="10.7109375" defaultRowHeight="18"/>
  <cols>
    <col min="1" max="19" width="10.7109375" style="3"/>
    <col min="20" max="20" width="16.42578125" style="3" bestFit="1" customWidth="1"/>
    <col min="21" max="21" width="15.140625" style="3" bestFit="1" customWidth="1"/>
    <col min="22" max="22" width="10.7109375" style="3"/>
    <col min="23" max="23" width="14.5703125" style="3" bestFit="1" customWidth="1"/>
    <col min="24" max="24" width="15.140625" style="3" bestFit="1" customWidth="1"/>
    <col min="25" max="25" width="10.7109375" style="3"/>
    <col min="26" max="26" width="14.5703125" style="3" bestFit="1" customWidth="1"/>
    <col min="27" max="27" width="15.140625" style="3" bestFit="1" customWidth="1"/>
    <col min="28" max="28" width="10.7109375" style="3"/>
    <col min="29" max="29" width="14.5703125" style="3" bestFit="1" customWidth="1"/>
    <col min="30" max="30" width="15.140625" style="3" bestFit="1" customWidth="1"/>
    <col min="31" max="33" width="10.7109375" style="3"/>
    <col min="34" max="34" width="16.42578125" style="3" bestFit="1" customWidth="1"/>
    <col min="35" max="35" width="12.42578125" style="3" bestFit="1" customWidth="1"/>
    <col min="36" max="16384" width="10.7109375" style="3"/>
  </cols>
  <sheetData>
    <row r="3" spans="1:41">
      <c r="A3" s="2" t="s">
        <v>0</v>
      </c>
      <c r="J3" s="3" t="s">
        <v>1</v>
      </c>
      <c r="T3" s="3" t="s">
        <v>2</v>
      </c>
    </row>
    <row r="4" spans="1:41" ht="19" thickBot="1">
      <c r="A4" s="68" t="s">
        <v>3</v>
      </c>
      <c r="B4" s="64"/>
      <c r="C4" s="63" t="s">
        <v>4</v>
      </c>
      <c r="D4" s="64"/>
      <c r="E4" s="63" t="s">
        <v>7</v>
      </c>
      <c r="F4" s="64"/>
      <c r="G4" s="63" t="s">
        <v>6</v>
      </c>
      <c r="H4" s="66"/>
      <c r="J4" s="68" t="s">
        <v>3</v>
      </c>
      <c r="K4" s="64"/>
      <c r="L4" s="63" t="s">
        <v>4</v>
      </c>
      <c r="M4" s="64"/>
      <c r="N4" s="63" t="s">
        <v>7</v>
      </c>
      <c r="O4" s="64"/>
      <c r="P4" s="65" t="s">
        <v>6</v>
      </c>
      <c r="Q4" s="66"/>
      <c r="T4" s="67" t="s">
        <v>3</v>
      </c>
      <c r="U4" s="67"/>
      <c r="V4" s="60"/>
      <c r="W4" s="66" t="s">
        <v>4</v>
      </c>
      <c r="X4" s="67"/>
      <c r="Y4" s="60"/>
      <c r="Z4" s="66" t="s">
        <v>7</v>
      </c>
      <c r="AA4" s="67"/>
      <c r="AB4" s="60"/>
      <c r="AC4" s="66" t="s">
        <v>8</v>
      </c>
      <c r="AD4" s="67"/>
      <c r="AE4" s="67"/>
      <c r="AG4" s="10" t="s">
        <v>9</v>
      </c>
      <c r="AH4" s="8" t="s">
        <v>10</v>
      </c>
      <c r="AI4" s="5" t="s">
        <v>11</v>
      </c>
      <c r="AJ4" s="6" t="s">
        <v>12</v>
      </c>
      <c r="AL4" s="3" t="s">
        <v>13</v>
      </c>
    </row>
    <row r="5" spans="1:41" ht="19" thickBot="1">
      <c r="A5" s="5" t="s">
        <v>15</v>
      </c>
      <c r="B5" s="10" t="s">
        <v>16</v>
      </c>
      <c r="C5" s="8" t="s">
        <v>15</v>
      </c>
      <c r="D5" s="10" t="s">
        <v>16</v>
      </c>
      <c r="E5" s="8" t="s">
        <v>15</v>
      </c>
      <c r="F5" s="10" t="s">
        <v>16</v>
      </c>
      <c r="G5" s="8" t="s">
        <v>15</v>
      </c>
      <c r="H5" s="5" t="s">
        <v>16</v>
      </c>
      <c r="J5" s="6" t="s">
        <v>16</v>
      </c>
      <c r="K5" s="12" t="s">
        <v>17</v>
      </c>
      <c r="L5" s="6" t="s">
        <v>16</v>
      </c>
      <c r="M5" s="13" t="s">
        <v>17</v>
      </c>
      <c r="N5" s="6" t="s">
        <v>16</v>
      </c>
      <c r="O5" s="13" t="s">
        <v>17</v>
      </c>
      <c r="P5" s="6" t="s">
        <v>16</v>
      </c>
      <c r="Q5" s="13" t="s">
        <v>17</v>
      </c>
      <c r="T5" s="5" t="s">
        <v>18</v>
      </c>
      <c r="U5" s="5" t="s">
        <v>19</v>
      </c>
      <c r="V5" s="10" t="s">
        <v>20</v>
      </c>
      <c r="W5" s="8" t="s">
        <v>18</v>
      </c>
      <c r="X5" s="5" t="s">
        <v>19</v>
      </c>
      <c r="Y5" s="10" t="s">
        <v>20</v>
      </c>
      <c r="Z5" s="8" t="s">
        <v>18</v>
      </c>
      <c r="AA5" s="5" t="s">
        <v>19</v>
      </c>
      <c r="AB5" s="10" t="s">
        <v>20</v>
      </c>
      <c r="AC5" s="8" t="s">
        <v>18</v>
      </c>
      <c r="AD5" s="5" t="s">
        <v>19</v>
      </c>
      <c r="AE5" s="5" t="s">
        <v>20</v>
      </c>
      <c r="AG5" s="59" t="s">
        <v>21</v>
      </c>
      <c r="AH5" s="18">
        <f>U6-T6</f>
        <v>0</v>
      </c>
      <c r="AI5" s="28">
        <f>V6/2</f>
        <v>0</v>
      </c>
      <c r="AJ5" s="4" t="e">
        <f t="shared" ref="AJ5:AJ16" si="0">2*(ATAN(AI5/AH5))*(180/PI())</f>
        <v>#DIV/0!</v>
      </c>
      <c r="AK5" s="3" t="s">
        <v>22</v>
      </c>
      <c r="AL5" s="5" t="s">
        <v>21</v>
      </c>
      <c r="AM5" s="5" t="s">
        <v>23</v>
      </c>
      <c r="AN5" s="5" t="s">
        <v>24</v>
      </c>
      <c r="AO5" s="5" t="s">
        <v>25</v>
      </c>
    </row>
    <row r="6" spans="1:41">
      <c r="C6" s="9"/>
      <c r="D6" s="11"/>
      <c r="E6" s="9"/>
      <c r="F6" s="11"/>
      <c r="G6" s="9"/>
      <c r="H6" s="7"/>
      <c r="J6" s="4"/>
      <c r="K6" s="12"/>
      <c r="L6" s="1"/>
      <c r="M6" s="12"/>
      <c r="N6" s="1"/>
      <c r="O6" s="12"/>
      <c r="P6" s="1"/>
      <c r="Q6" s="4"/>
      <c r="T6" s="7"/>
      <c r="U6" s="7"/>
      <c r="V6" s="11"/>
      <c r="W6" s="9"/>
      <c r="X6" s="7"/>
      <c r="Y6" s="11"/>
      <c r="Z6" s="9"/>
      <c r="AA6" s="7"/>
      <c r="AB6" s="11"/>
      <c r="AC6" s="9"/>
      <c r="AD6" s="7"/>
      <c r="AE6" s="7"/>
      <c r="AF6" s="3" t="s">
        <v>22</v>
      </c>
      <c r="AG6" s="60"/>
      <c r="AH6" s="1">
        <f>U7-T7</f>
        <v>0</v>
      </c>
      <c r="AI6" s="20">
        <f>V7/2</f>
        <v>0</v>
      </c>
      <c r="AJ6" s="4" t="e">
        <f t="shared" si="0"/>
        <v>#DIV/0!</v>
      </c>
      <c r="AL6" s="7" t="e">
        <f>AVERAGE(AJ5:AJ7)</f>
        <v>#DIV/0!</v>
      </c>
      <c r="AM6" s="7" t="e">
        <f>AVERAGE(AJ8:AJ10)</f>
        <v>#DIV/0!</v>
      </c>
      <c r="AN6" s="7" t="e">
        <f>AVERAGE(AJ11:AJ13)</f>
        <v>#DIV/0!</v>
      </c>
      <c r="AO6" s="7" t="e">
        <f>AVERAGE(AJ14:AJ16)</f>
        <v>#DIV/0!</v>
      </c>
    </row>
    <row r="7" spans="1:41" ht="19" thickBot="1">
      <c r="C7" s="1"/>
      <c r="D7" s="12"/>
      <c r="E7" s="1"/>
      <c r="F7" s="12"/>
      <c r="G7" s="1"/>
      <c r="H7" s="4"/>
      <c r="J7" s="4"/>
      <c r="K7" s="12"/>
      <c r="L7" s="1"/>
      <c r="M7" s="12"/>
      <c r="N7" s="1"/>
      <c r="O7" s="12"/>
      <c r="P7" s="1"/>
      <c r="Q7" s="4"/>
      <c r="T7" s="4"/>
      <c r="U7" s="4"/>
      <c r="V7" s="12"/>
      <c r="W7" s="1"/>
      <c r="X7" s="4"/>
      <c r="Y7" s="12"/>
      <c r="Z7" s="1"/>
      <c r="AA7" s="4"/>
      <c r="AB7" s="12"/>
      <c r="AC7" s="1"/>
      <c r="AD7" s="4"/>
      <c r="AE7" s="4"/>
      <c r="AG7" s="61"/>
      <c r="AH7" s="8">
        <f>U8-T8</f>
        <v>0</v>
      </c>
      <c r="AI7" s="29">
        <f>V8/2</f>
        <v>0</v>
      </c>
      <c r="AJ7" s="5" t="e">
        <f t="shared" si="0"/>
        <v>#DIV/0!</v>
      </c>
    </row>
    <row r="8" spans="1:41">
      <c r="C8" s="1"/>
      <c r="D8" s="12"/>
      <c r="E8" s="1"/>
      <c r="F8" s="12"/>
      <c r="G8" s="1"/>
      <c r="H8" s="4"/>
      <c r="J8" s="4"/>
      <c r="K8" s="12"/>
      <c r="L8" s="1"/>
      <c r="M8" s="12"/>
      <c r="N8" s="1"/>
      <c r="O8" s="12"/>
      <c r="P8" s="1"/>
      <c r="Q8" s="4"/>
      <c r="T8" s="4"/>
      <c r="U8" s="4"/>
      <c r="V8" s="12"/>
      <c r="W8" s="1"/>
      <c r="X8" s="4"/>
      <c r="Y8" s="12"/>
      <c r="Z8" s="1"/>
      <c r="AA8" s="4"/>
      <c r="AB8" s="12"/>
      <c r="AC8" s="14"/>
      <c r="AD8" s="4"/>
      <c r="AE8" s="4"/>
      <c r="AG8" s="59" t="s">
        <v>23</v>
      </c>
      <c r="AH8" s="18">
        <f>X6-W6</f>
        <v>0</v>
      </c>
      <c r="AI8" s="28">
        <f>Y6/2</f>
        <v>0</v>
      </c>
      <c r="AJ8" s="7" t="e">
        <f t="shared" si="0"/>
        <v>#DIV/0!</v>
      </c>
    </row>
    <row r="9" spans="1:41">
      <c r="A9" s="4"/>
      <c r="B9" s="12"/>
      <c r="C9" s="1"/>
      <c r="D9" s="12"/>
      <c r="E9" s="1"/>
      <c r="F9" s="12"/>
      <c r="G9" s="1"/>
      <c r="H9" s="4"/>
      <c r="J9" s="4"/>
      <c r="K9" s="12"/>
      <c r="L9" s="1"/>
      <c r="M9" s="12"/>
      <c r="N9" s="1"/>
      <c r="O9" s="12"/>
      <c r="P9" s="1"/>
      <c r="Q9" s="4"/>
      <c r="AG9" s="60"/>
      <c r="AH9" s="1">
        <f>X7-W7</f>
        <v>0</v>
      </c>
      <c r="AI9" s="20">
        <f>Y7/2</f>
        <v>0</v>
      </c>
      <c r="AJ9" s="4" t="e">
        <f t="shared" si="0"/>
        <v>#DIV/0!</v>
      </c>
    </row>
    <row r="10" spans="1:41" ht="19" thickBot="1">
      <c r="A10" s="4"/>
      <c r="B10" s="12"/>
      <c r="C10" s="1"/>
      <c r="D10" s="12"/>
      <c r="E10" s="1"/>
      <c r="F10" s="12"/>
      <c r="G10" s="1"/>
      <c r="H10" s="4"/>
      <c r="J10" s="4"/>
      <c r="K10" s="12"/>
      <c r="L10" s="1"/>
      <c r="M10" s="12"/>
      <c r="N10" s="1"/>
      <c r="O10" s="12"/>
      <c r="P10" s="1"/>
      <c r="Q10" s="4"/>
      <c r="AG10" s="61"/>
      <c r="AH10" s="8">
        <f>X8-W8</f>
        <v>0</v>
      </c>
      <c r="AI10" s="29">
        <f>Y8/2</f>
        <v>0</v>
      </c>
      <c r="AJ10" s="5" t="e">
        <f t="shared" si="0"/>
        <v>#DIV/0!</v>
      </c>
    </row>
    <row r="11" spans="1:41">
      <c r="A11" s="4"/>
      <c r="B11" s="12"/>
      <c r="C11" s="1"/>
      <c r="D11" s="12"/>
      <c r="E11" s="1"/>
      <c r="F11" s="12"/>
      <c r="G11" s="1"/>
      <c r="H11" s="4"/>
      <c r="J11" s="4"/>
      <c r="K11" s="12"/>
      <c r="L11" s="1"/>
      <c r="M11" s="12"/>
      <c r="N11" s="1"/>
      <c r="O11" s="12"/>
      <c r="P11" s="1"/>
      <c r="Q11" s="4"/>
      <c r="AG11" s="59" t="s">
        <v>24</v>
      </c>
      <c r="AH11" s="18">
        <f>AA6-Z6</f>
        <v>0</v>
      </c>
      <c r="AI11" s="28">
        <f>AB6/2</f>
        <v>0</v>
      </c>
      <c r="AJ11" s="7" t="e">
        <f t="shared" si="0"/>
        <v>#DIV/0!</v>
      </c>
    </row>
    <row r="12" spans="1:41">
      <c r="A12" s="4"/>
      <c r="B12" s="12"/>
      <c r="C12" s="1"/>
      <c r="D12" s="12"/>
      <c r="E12" s="1"/>
      <c r="F12" s="12"/>
      <c r="G12" s="1"/>
      <c r="H12" s="4"/>
      <c r="J12" s="4"/>
      <c r="K12" s="12"/>
      <c r="L12" s="1"/>
      <c r="M12" s="12"/>
      <c r="N12" s="1"/>
      <c r="O12" s="12"/>
      <c r="P12" s="1"/>
      <c r="Q12" s="4"/>
      <c r="AG12" s="60"/>
      <c r="AH12" s="1">
        <f>AA7-Z7</f>
        <v>0</v>
      </c>
      <c r="AI12" s="20">
        <f>AB7/2</f>
        <v>0</v>
      </c>
      <c r="AJ12" s="4" t="e">
        <f t="shared" si="0"/>
        <v>#DIV/0!</v>
      </c>
    </row>
    <row r="13" spans="1:41" ht="19" thickBot="1">
      <c r="A13" s="4"/>
      <c r="B13" s="12"/>
      <c r="C13" s="1"/>
      <c r="D13" s="12"/>
      <c r="E13" s="1"/>
      <c r="F13" s="12"/>
      <c r="G13" s="1"/>
      <c r="H13" s="4"/>
      <c r="J13" s="16"/>
      <c r="K13" s="16"/>
      <c r="L13" s="16"/>
      <c r="M13" s="16"/>
      <c r="N13" s="16"/>
      <c r="O13" s="16"/>
      <c r="P13" s="16"/>
      <c r="Q13" s="17"/>
      <c r="AG13" s="61"/>
      <c r="AH13" s="8">
        <f>AA8-Z8</f>
        <v>0</v>
      </c>
      <c r="AI13" s="29">
        <f>AB8/2</f>
        <v>0</v>
      </c>
      <c r="AJ13" s="6" t="e">
        <f t="shared" si="0"/>
        <v>#DIV/0!</v>
      </c>
    </row>
    <row r="14" spans="1:41">
      <c r="A14" s="4"/>
      <c r="B14" s="12"/>
      <c r="C14" s="1"/>
      <c r="D14" s="12"/>
      <c r="E14" s="1"/>
      <c r="F14" s="12"/>
      <c r="G14" s="1"/>
      <c r="H14" s="4"/>
      <c r="J14" s="15"/>
      <c r="K14" s="15"/>
      <c r="L14" s="15"/>
      <c r="M14" s="15"/>
      <c r="N14" s="15"/>
      <c r="O14" s="15"/>
      <c r="P14" s="15"/>
      <c r="Q14" s="15"/>
      <c r="AG14" s="62" t="s">
        <v>25</v>
      </c>
      <c r="AH14" s="9">
        <f>AD6-AC6</f>
        <v>0</v>
      </c>
      <c r="AI14" s="30">
        <f>AE6/2</f>
        <v>0</v>
      </c>
      <c r="AJ14" s="19" t="e">
        <f t="shared" si="0"/>
        <v>#DIV/0!</v>
      </c>
    </row>
    <row r="15" spans="1:41">
      <c r="A15" s="4"/>
      <c r="B15" s="12"/>
      <c r="C15" s="1"/>
      <c r="D15" s="12"/>
      <c r="E15" s="1"/>
      <c r="F15" s="12"/>
      <c r="G15" s="1"/>
      <c r="H15" s="4"/>
      <c r="J15" s="15"/>
      <c r="K15" s="15"/>
      <c r="L15" s="15"/>
      <c r="M15" s="15"/>
      <c r="N15" s="15"/>
      <c r="O15" s="15"/>
      <c r="P15" s="15"/>
      <c r="Q15" s="15"/>
      <c r="AG15" s="60"/>
      <c r="AH15" s="1">
        <f>AD7-AC7</f>
        <v>0</v>
      </c>
      <c r="AI15" s="20">
        <f>AE7/2</f>
        <v>0</v>
      </c>
      <c r="AJ15" s="4" t="e">
        <f t="shared" si="0"/>
        <v>#DIV/0!</v>
      </c>
    </row>
    <row r="16" spans="1:41">
      <c r="A16" s="4"/>
      <c r="B16" s="12"/>
      <c r="C16" s="1"/>
      <c r="D16" s="12"/>
      <c r="E16" s="1"/>
      <c r="F16" s="12"/>
      <c r="G16" s="1"/>
      <c r="H16" s="4"/>
      <c r="J16" s="15"/>
      <c r="K16" s="15"/>
      <c r="L16" s="15"/>
      <c r="M16" s="15"/>
      <c r="N16" s="15"/>
      <c r="O16" s="15"/>
      <c r="P16" s="15"/>
      <c r="Q16" s="15"/>
      <c r="AG16" s="60"/>
      <c r="AH16" s="14">
        <f>AD8-AC8</f>
        <v>0</v>
      </c>
      <c r="AI16" s="20">
        <f>AE8/2</f>
        <v>0</v>
      </c>
      <c r="AJ16" s="4" t="e">
        <f t="shared" si="0"/>
        <v>#DIV/0!</v>
      </c>
    </row>
    <row r="17" spans="1:17">
      <c r="A17" s="4"/>
      <c r="B17" s="12"/>
      <c r="C17" s="1"/>
      <c r="D17" s="12"/>
      <c r="E17" s="1"/>
      <c r="F17" s="12"/>
      <c r="G17" s="1"/>
      <c r="H17" s="4"/>
      <c r="J17" s="15"/>
      <c r="K17" s="15"/>
      <c r="L17" s="15"/>
      <c r="M17" s="15"/>
      <c r="N17" s="15"/>
      <c r="O17" s="15"/>
      <c r="P17" s="15"/>
      <c r="Q17" s="15"/>
    </row>
    <row r="18" spans="1:17">
      <c r="A18" s="4"/>
      <c r="B18" s="12"/>
      <c r="C18" s="1"/>
      <c r="D18" s="12"/>
      <c r="E18" s="1"/>
      <c r="F18" s="12"/>
      <c r="G18" s="1"/>
      <c r="H18" s="4"/>
      <c r="J18" s="15"/>
      <c r="K18" s="15"/>
      <c r="L18" s="15"/>
      <c r="M18" s="15"/>
      <c r="N18" s="15"/>
      <c r="O18" s="15"/>
      <c r="P18" s="15"/>
      <c r="Q18" s="15"/>
    </row>
    <row r="19" spans="1:17">
      <c r="A19" s="4"/>
      <c r="B19" s="12"/>
      <c r="C19" s="1"/>
      <c r="D19" s="12"/>
      <c r="E19" s="1"/>
      <c r="F19" s="12"/>
      <c r="G19" s="1"/>
      <c r="H19" s="4"/>
      <c r="J19" s="15"/>
      <c r="K19" s="15"/>
      <c r="L19" s="15"/>
      <c r="M19" s="15"/>
      <c r="N19" s="15"/>
      <c r="O19" s="15"/>
      <c r="P19" s="15"/>
      <c r="Q19" s="15"/>
    </row>
    <row r="20" spans="1:17">
      <c r="A20" s="4"/>
      <c r="B20" s="12"/>
      <c r="C20" s="1"/>
      <c r="D20" s="12"/>
      <c r="E20" s="1"/>
      <c r="F20" s="12"/>
      <c r="G20" s="1"/>
      <c r="H20" s="4"/>
      <c r="J20" s="15"/>
      <c r="K20" s="15"/>
      <c r="L20" s="15"/>
      <c r="M20" s="15"/>
      <c r="N20" s="15"/>
      <c r="O20" s="15"/>
      <c r="P20" s="15"/>
      <c r="Q20" s="15"/>
    </row>
    <row r="21" spans="1:17">
      <c r="A21" s="4"/>
      <c r="B21" s="12"/>
      <c r="C21" s="1"/>
      <c r="D21" s="12"/>
      <c r="E21" s="1"/>
      <c r="F21" s="12"/>
      <c r="G21" s="1"/>
      <c r="H21" s="4"/>
      <c r="J21" s="15"/>
      <c r="K21" s="15"/>
      <c r="L21" s="15"/>
      <c r="M21" s="15"/>
      <c r="N21" s="15"/>
      <c r="O21" s="15"/>
      <c r="P21" s="15"/>
      <c r="Q21" s="15"/>
    </row>
    <row r="22" spans="1:17">
      <c r="A22" s="4"/>
      <c r="B22" s="12"/>
      <c r="C22" s="1"/>
      <c r="D22" s="12"/>
      <c r="E22" s="1"/>
      <c r="F22" s="12"/>
      <c r="G22" s="1"/>
      <c r="H22" s="4"/>
      <c r="J22" s="15"/>
      <c r="K22" s="15"/>
      <c r="L22" s="15"/>
      <c r="M22" s="15"/>
      <c r="N22" s="15"/>
      <c r="O22" s="15"/>
      <c r="P22" s="15"/>
      <c r="Q22" s="15"/>
    </row>
    <row r="23" spans="1:17">
      <c r="A23" s="4"/>
      <c r="B23" s="12"/>
      <c r="C23" s="1"/>
      <c r="D23" s="12"/>
      <c r="E23" s="1"/>
      <c r="F23" s="12"/>
      <c r="G23" s="1"/>
      <c r="H23" s="4"/>
      <c r="J23" s="15"/>
      <c r="K23" s="15"/>
      <c r="L23" s="15"/>
      <c r="M23" s="15"/>
      <c r="N23" s="15"/>
      <c r="O23" s="15"/>
      <c r="P23" s="15"/>
      <c r="Q23" s="15"/>
    </row>
    <row r="24" spans="1:17">
      <c r="A24" s="4"/>
      <c r="B24" s="12"/>
      <c r="C24" s="1"/>
      <c r="D24" s="12"/>
      <c r="E24" s="1"/>
      <c r="F24" s="12"/>
      <c r="G24" s="1"/>
      <c r="H24" s="4"/>
      <c r="J24" s="15"/>
      <c r="K24" s="15"/>
      <c r="L24" s="15"/>
      <c r="M24" s="15"/>
      <c r="N24" s="15"/>
      <c r="O24" s="15"/>
      <c r="P24" s="15"/>
      <c r="Q24" s="15"/>
    </row>
    <row r="25" spans="1:17">
      <c r="A25" s="4"/>
      <c r="B25" s="12"/>
      <c r="C25" s="1"/>
      <c r="D25" s="12"/>
      <c r="E25" s="1"/>
      <c r="F25" s="12"/>
      <c r="G25" s="1"/>
      <c r="H25" s="4"/>
      <c r="J25" s="15"/>
      <c r="K25" s="15"/>
      <c r="L25" s="15"/>
      <c r="M25" s="15"/>
      <c r="N25" s="15"/>
      <c r="O25" s="15"/>
      <c r="P25" s="15"/>
      <c r="Q25" s="15"/>
    </row>
    <row r="26" spans="1:17">
      <c r="A26" s="4"/>
      <c r="B26" s="12"/>
      <c r="C26" s="1"/>
      <c r="D26" s="12"/>
      <c r="E26" s="1"/>
      <c r="F26" s="12"/>
      <c r="G26" s="1"/>
      <c r="H26" s="4"/>
      <c r="J26" s="15"/>
      <c r="K26" s="15"/>
      <c r="L26" s="15"/>
      <c r="M26" s="15"/>
      <c r="N26" s="15"/>
      <c r="O26" s="15"/>
      <c r="P26" s="15"/>
      <c r="Q26" s="15"/>
    </row>
    <row r="27" spans="1:17">
      <c r="A27" s="4"/>
      <c r="B27" s="12"/>
      <c r="C27" s="1"/>
      <c r="D27" s="12"/>
      <c r="E27" s="1"/>
      <c r="F27" s="12"/>
      <c r="G27" s="1"/>
      <c r="H27" s="4"/>
      <c r="J27" s="15"/>
      <c r="K27" s="15"/>
      <c r="L27" s="15"/>
      <c r="M27" s="15"/>
      <c r="N27" s="15"/>
      <c r="O27" s="15"/>
      <c r="P27" s="15"/>
      <c r="Q27" s="15"/>
    </row>
    <row r="28" spans="1:17">
      <c r="A28" s="4"/>
      <c r="B28" s="12"/>
      <c r="C28" s="1"/>
      <c r="D28" s="12"/>
      <c r="E28" s="1"/>
      <c r="F28" s="12"/>
      <c r="G28" s="1"/>
      <c r="H28" s="4"/>
      <c r="J28" s="15"/>
      <c r="K28" s="15"/>
      <c r="L28" s="15"/>
      <c r="M28" s="15"/>
      <c r="N28" s="15"/>
      <c r="O28" s="15"/>
      <c r="P28" s="15"/>
      <c r="Q28" s="15"/>
    </row>
    <row r="29" spans="1:17">
      <c r="A29" s="4"/>
      <c r="B29" s="12"/>
      <c r="C29" s="1"/>
      <c r="D29" s="12"/>
      <c r="E29" s="1"/>
      <c r="F29" s="12"/>
      <c r="G29" s="1"/>
      <c r="H29" s="4"/>
      <c r="J29" s="15"/>
      <c r="K29" s="15"/>
      <c r="L29" s="15"/>
      <c r="M29" s="15"/>
      <c r="N29" s="15"/>
      <c r="O29" s="15"/>
      <c r="P29" s="15"/>
      <c r="Q29" s="15"/>
    </row>
    <row r="30" spans="1:17">
      <c r="A30" s="4"/>
      <c r="B30" s="12"/>
      <c r="C30" s="1"/>
      <c r="D30" s="12"/>
      <c r="E30" s="1"/>
      <c r="F30" s="12"/>
      <c r="G30" s="1"/>
      <c r="H30" s="4"/>
      <c r="J30" s="15"/>
      <c r="K30" s="15"/>
      <c r="L30" s="15"/>
      <c r="M30" s="15"/>
      <c r="N30" s="15"/>
      <c r="O30" s="15"/>
      <c r="P30" s="15"/>
      <c r="Q30" s="15"/>
    </row>
    <row r="31" spans="1:17">
      <c r="A31" s="4"/>
      <c r="B31" s="12"/>
      <c r="C31" s="1"/>
      <c r="D31" s="12"/>
      <c r="E31" s="1"/>
      <c r="F31" s="12"/>
      <c r="G31" s="1"/>
      <c r="H31" s="4"/>
      <c r="J31" s="15"/>
      <c r="K31" s="15"/>
      <c r="L31" s="15"/>
      <c r="M31" s="15"/>
      <c r="N31" s="15"/>
      <c r="O31" s="15"/>
      <c r="P31" s="15"/>
      <c r="Q31" s="15"/>
    </row>
    <row r="32" spans="1:17">
      <c r="A32" s="4"/>
      <c r="B32" s="12"/>
      <c r="C32" s="1"/>
      <c r="D32" s="12"/>
      <c r="E32" s="1"/>
      <c r="F32" s="12"/>
      <c r="G32" s="1"/>
      <c r="H32" s="4"/>
    </row>
  </sheetData>
  <mergeCells count="16">
    <mergeCell ref="A4:B4"/>
    <mergeCell ref="C4:D4"/>
    <mergeCell ref="E4:F4"/>
    <mergeCell ref="G4:H4"/>
    <mergeCell ref="P4:Q4"/>
    <mergeCell ref="N4:O4"/>
    <mergeCell ref="L4:M4"/>
    <mergeCell ref="J4:K4"/>
    <mergeCell ref="AG5:AG7"/>
    <mergeCell ref="AG8:AG10"/>
    <mergeCell ref="AG11:AG13"/>
    <mergeCell ref="AG14:AG16"/>
    <mergeCell ref="T4:V4"/>
    <mergeCell ref="W4:Y4"/>
    <mergeCell ref="Z4:AB4"/>
    <mergeCell ref="AC4:AE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a班</vt:lpstr>
      <vt:lpstr>b班</vt:lpstr>
      <vt:lpstr>コピー用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周東　玖龍</dc:creator>
  <cp:keywords/>
  <dc:description/>
  <cp:lastModifiedBy>谷口　天眞</cp:lastModifiedBy>
  <cp:revision/>
  <dcterms:created xsi:type="dcterms:W3CDTF">2025-09-12T05:43:34Z</dcterms:created>
  <dcterms:modified xsi:type="dcterms:W3CDTF">2025-12-23T07:49:13Z</dcterms:modified>
  <cp:category/>
  <cp:contentStatus/>
</cp:coreProperties>
</file>