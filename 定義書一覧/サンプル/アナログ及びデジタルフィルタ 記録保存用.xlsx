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tenzooo/Desktop/レポート全自動/エクセル/"/>
    </mc:Choice>
  </mc:AlternateContent>
  <xr:revisionPtr revIDLastSave="0" documentId="8_{306A5254-C489-BB49-AA72-2A824BA5A0D5}" xr6:coauthVersionLast="47" xr6:coauthVersionMax="47" xr10:uidLastSave="{00000000-0000-0000-0000-000000000000}"/>
  <bookViews>
    <workbookView xWindow="400" yWindow="2200" windowWidth="12080" windowHeight="8880" xr2:uid="{F39119E1-99C4-2C48-B310-C672C43AF477}"/>
  </bookViews>
  <sheets>
    <sheet name="アナログフィルタ結果" sheetId="3" r:id="rId1"/>
    <sheet name="デジタルフィルタ結果" sheetId="5" r:id="rId2"/>
    <sheet name="アナログフィルタ(予備用)" sheetId="1" r:id="rId3"/>
    <sheet name="デジタルフィルタ(予備用)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AK12" i="3"/>
  <c r="AI12" i="3"/>
  <c r="X15" i="3"/>
  <c r="S14" i="3"/>
  <c r="AT12" i="1"/>
  <c r="AO12" i="1"/>
  <c r="AO12" i="3"/>
  <c r="U3" i="5" a="1"/>
  <c r="U3" i="5" s="1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12" i="3"/>
  <c r="B107" i="3"/>
  <c r="F107" i="3" s="1"/>
  <c r="B108" i="3"/>
  <c r="F108" i="3" s="1"/>
  <c r="B109" i="3"/>
  <c r="F109" i="3"/>
  <c r="B110" i="3"/>
  <c r="F110" i="3" s="1"/>
  <c r="B111" i="3"/>
  <c r="F111" i="3"/>
  <c r="B112" i="3"/>
  <c r="F112" i="3" s="1"/>
  <c r="B113" i="3"/>
  <c r="F113" i="3"/>
  <c r="B114" i="3"/>
  <c r="F114" i="3"/>
  <c r="B115" i="3"/>
  <c r="F115" i="3" s="1"/>
  <c r="B116" i="3"/>
  <c r="F116" i="3" s="1"/>
  <c r="B117" i="3"/>
  <c r="F117" i="3"/>
  <c r="B118" i="3"/>
  <c r="F118" i="3" s="1"/>
  <c r="B119" i="3"/>
  <c r="F119" i="3"/>
  <c r="B120" i="3"/>
  <c r="F120" i="3" s="1"/>
  <c r="B121" i="3"/>
  <c r="F121" i="3"/>
  <c r="B122" i="3"/>
  <c r="F122" i="3"/>
  <c r="B123" i="3"/>
  <c r="F123" i="3"/>
  <c r="B124" i="3"/>
  <c r="F124" i="3" s="1"/>
  <c r="B125" i="3"/>
  <c r="F125" i="3" s="1"/>
  <c r="B126" i="3"/>
  <c r="F126" i="3" s="1"/>
  <c r="B127" i="3"/>
  <c r="F127" i="3"/>
  <c r="B128" i="3"/>
  <c r="F128" i="3" s="1"/>
  <c r="B129" i="3"/>
  <c r="F129" i="3"/>
  <c r="B130" i="3"/>
  <c r="F130" i="3" s="1"/>
  <c r="B81" i="3"/>
  <c r="F81" i="3" s="1"/>
  <c r="B82" i="3"/>
  <c r="F82" i="3" s="1"/>
  <c r="B83" i="3"/>
  <c r="F83" i="3"/>
  <c r="B84" i="3"/>
  <c r="F84" i="3" s="1"/>
  <c r="B85" i="3"/>
  <c r="F85" i="3"/>
  <c r="B86" i="3"/>
  <c r="F86" i="3" s="1"/>
  <c r="B87" i="3"/>
  <c r="F87" i="3"/>
  <c r="B88" i="3"/>
  <c r="F88" i="3" s="1"/>
  <c r="B89" i="3"/>
  <c r="F89" i="3"/>
  <c r="B90" i="3"/>
  <c r="F90" i="3" s="1"/>
  <c r="B91" i="3"/>
  <c r="F91" i="3"/>
  <c r="B92" i="3"/>
  <c r="F92" i="3" s="1"/>
  <c r="Y24" i="3" s="1"/>
  <c r="B93" i="3"/>
  <c r="F93" i="3"/>
  <c r="B94" i="3"/>
  <c r="F94" i="3" s="1"/>
  <c r="B95" i="3"/>
  <c r="F95" i="3" s="1"/>
  <c r="B96" i="3"/>
  <c r="F96" i="3" s="1"/>
  <c r="B97" i="3"/>
  <c r="F97" i="3"/>
  <c r="B98" i="3"/>
  <c r="F98" i="3" s="1"/>
  <c r="B55" i="3"/>
  <c r="F55" i="3" s="1"/>
  <c r="B56" i="3"/>
  <c r="F56" i="3"/>
  <c r="B57" i="3"/>
  <c r="F57" i="3" s="1"/>
  <c r="B58" i="3"/>
  <c r="F58" i="3"/>
  <c r="Z15" i="3" s="1"/>
  <c r="B59" i="3"/>
  <c r="F59" i="3" s="1"/>
  <c r="B60" i="3"/>
  <c r="F60" i="3" s="1"/>
  <c r="B61" i="3"/>
  <c r="F61" i="3" s="1"/>
  <c r="B62" i="3"/>
  <c r="F62" i="3"/>
  <c r="B63" i="3"/>
  <c r="F63" i="3" s="1"/>
  <c r="B64" i="3"/>
  <c r="F64" i="3"/>
  <c r="B65" i="3"/>
  <c r="F65" i="3" s="1"/>
  <c r="B66" i="3"/>
  <c r="F66" i="3"/>
  <c r="B67" i="3"/>
  <c r="F67" i="3" s="1"/>
  <c r="B68" i="3"/>
  <c r="F68" i="3"/>
  <c r="B69" i="3"/>
  <c r="F69" i="3" s="1"/>
  <c r="B70" i="3"/>
  <c r="F70" i="3"/>
  <c r="Z23" i="3" s="1"/>
  <c r="B71" i="3"/>
  <c r="F71" i="3" s="1"/>
  <c r="B72" i="3"/>
  <c r="F72" i="3"/>
  <c r="B4" i="3"/>
  <c r="F4" i="3"/>
  <c r="AJ12" i="3" s="1"/>
  <c r="B5" i="3"/>
  <c r="F5" i="3" s="1"/>
  <c r="B6" i="3"/>
  <c r="F6" i="3"/>
  <c r="AJ14" i="3" s="1"/>
  <c r="AR6" i="3"/>
  <c r="B7" i="3"/>
  <c r="F7" i="3"/>
  <c r="AR7" i="3"/>
  <c r="B8" i="3"/>
  <c r="F8" i="3"/>
  <c r="AJ16" i="3" s="1"/>
  <c r="AR8" i="3"/>
  <c r="B9" i="3"/>
  <c r="F9" i="3" s="1"/>
  <c r="AJ17" i="3" s="1"/>
  <c r="AR9" i="3"/>
  <c r="B10" i="3"/>
  <c r="F10" i="3"/>
  <c r="AJ18" i="3" s="1"/>
  <c r="B11" i="3"/>
  <c r="F11" i="3" s="1"/>
  <c r="B12" i="3"/>
  <c r="F12" i="3"/>
  <c r="AJ20" i="3" s="1"/>
  <c r="AH12" i="3"/>
  <c r="AN12" i="3"/>
  <c r="AQ12" i="3"/>
  <c r="B13" i="3"/>
  <c r="F13" i="3" s="1"/>
  <c r="AH13" i="3"/>
  <c r="AI13" i="3"/>
  <c r="AK13" i="3"/>
  <c r="AN13" i="3"/>
  <c r="B14" i="3"/>
  <c r="F14" i="3"/>
  <c r="AJ22" i="3" s="1"/>
  <c r="AC14" i="3"/>
  <c r="AH14" i="3"/>
  <c r="AN14" i="3"/>
  <c r="B15" i="3"/>
  <c r="F15" i="3" s="1"/>
  <c r="AH15" i="3"/>
  <c r="AJ15" i="3"/>
  <c r="AN15" i="3"/>
  <c r="B16" i="3"/>
  <c r="F16" i="3" s="1"/>
  <c r="AJ24" i="3" s="1"/>
  <c r="AC16" i="3"/>
  <c r="AH16" i="3"/>
  <c r="AN16" i="3"/>
  <c r="B17" i="3"/>
  <c r="F17" i="3" s="1"/>
  <c r="AJ25" i="3" s="1"/>
  <c r="AH17" i="3"/>
  <c r="AN17" i="3"/>
  <c r="B18" i="3"/>
  <c r="F18" i="3"/>
  <c r="AJ26" i="3" s="1"/>
  <c r="AH18" i="3"/>
  <c r="AN18" i="3"/>
  <c r="B19" i="3"/>
  <c r="F19" i="3" s="1"/>
  <c r="AH19" i="3"/>
  <c r="AN19" i="3"/>
  <c r="B20" i="3"/>
  <c r="F20" i="3"/>
  <c r="AJ28" i="3" s="1"/>
  <c r="AH20" i="3"/>
  <c r="AN20" i="3"/>
  <c r="B21" i="3"/>
  <c r="F21" i="3" s="1"/>
  <c r="AJ29" i="3" s="1"/>
  <c r="AH21" i="3"/>
  <c r="AN21" i="3"/>
  <c r="AH22" i="3"/>
  <c r="AN22" i="3"/>
  <c r="AH23" i="3"/>
  <c r="AN23" i="3"/>
  <c r="AH24" i="3"/>
  <c r="AN24" i="3"/>
  <c r="AH25" i="3"/>
  <c r="AN25" i="3"/>
  <c r="AH26" i="3"/>
  <c r="AN26" i="3"/>
  <c r="AH27" i="3"/>
  <c r="AN27" i="3"/>
  <c r="AH28" i="3"/>
  <c r="AN28" i="3"/>
  <c r="AH29" i="3"/>
  <c r="AN29" i="3"/>
  <c r="B30" i="3"/>
  <c r="AP12" i="3" s="1"/>
  <c r="AC15" i="3"/>
  <c r="B31" i="3"/>
  <c r="F31" i="3" s="1"/>
  <c r="AP13" i="3" s="1"/>
  <c r="B32" i="3"/>
  <c r="F32" i="3" s="1"/>
  <c r="AP14" i="3" s="1"/>
  <c r="B33" i="3"/>
  <c r="F33" i="3"/>
  <c r="AP15" i="3" s="1"/>
  <c r="B34" i="3"/>
  <c r="F34" i="3" s="1"/>
  <c r="B35" i="3"/>
  <c r="F35" i="3"/>
  <c r="AP17" i="3" s="1"/>
  <c r="B36" i="3"/>
  <c r="F36" i="3" s="1"/>
  <c r="AP18" i="3" s="1"/>
  <c r="B37" i="3"/>
  <c r="F37" i="3"/>
  <c r="AP19" i="3" s="1"/>
  <c r="B38" i="3"/>
  <c r="F38" i="3" s="1"/>
  <c r="AP20" i="3" s="1"/>
  <c r="B39" i="3"/>
  <c r="F39" i="3"/>
  <c r="AP21" i="3" s="1"/>
  <c r="B40" i="3"/>
  <c r="F40" i="3" s="1"/>
  <c r="AP22" i="3" s="1"/>
  <c r="B41" i="3"/>
  <c r="F41" i="3"/>
  <c r="AP23" i="3" s="1"/>
  <c r="B42" i="3"/>
  <c r="F42" i="3" s="1"/>
  <c r="AP24" i="3" s="1"/>
  <c r="B43" i="3"/>
  <c r="F43" i="3"/>
  <c r="AP25" i="3" s="1"/>
  <c r="B44" i="3"/>
  <c r="F44" i="3" s="1"/>
  <c r="AP26" i="3" s="1"/>
  <c r="B45" i="3"/>
  <c r="F45" i="3"/>
  <c r="AP27" i="3" s="1"/>
  <c r="B46" i="3"/>
  <c r="F46" i="3" s="1"/>
  <c r="AP28" i="3" s="1"/>
  <c r="B47" i="3"/>
  <c r="F47" i="3" s="1"/>
  <c r="AP29" i="3" s="1"/>
  <c r="AQ12" i="1"/>
  <c r="AI12" i="1"/>
  <c r="AR6" i="1"/>
  <c r="AR9" i="1"/>
  <c r="AR8" i="1"/>
  <c r="AR7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12" i="1"/>
  <c r="AM13" i="1"/>
  <c r="AM14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J29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12" i="1"/>
  <c r="AH29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12" i="1"/>
  <c r="AG14" i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13" i="1"/>
  <c r="AE24" i="1"/>
  <c r="AE23" i="1"/>
  <c r="AE22" i="1"/>
  <c r="AD24" i="1"/>
  <c r="AD23" i="1"/>
  <c r="AD22" i="1"/>
  <c r="AC24" i="1"/>
  <c r="AC23" i="1"/>
  <c r="AC22" i="1"/>
  <c r="AE16" i="1"/>
  <c r="AE15" i="1"/>
  <c r="AE14" i="1"/>
  <c r="AD16" i="1"/>
  <c r="AD15" i="1"/>
  <c r="AD14" i="1"/>
  <c r="AC15" i="1"/>
  <c r="AC16" i="1"/>
  <c r="AC14" i="1"/>
  <c r="Z24" i="1"/>
  <c r="Z23" i="1"/>
  <c r="Y24" i="1"/>
  <c r="Y23" i="1"/>
  <c r="X24" i="1"/>
  <c r="X23" i="1"/>
  <c r="Z16" i="1"/>
  <c r="Z15" i="1"/>
  <c r="Y16" i="1"/>
  <c r="Y15" i="1"/>
  <c r="X16" i="1"/>
  <c r="X15" i="1"/>
  <c r="F8" i="1"/>
  <c r="F9" i="1"/>
  <c r="F10" i="1"/>
  <c r="F11" i="1"/>
  <c r="F12" i="1"/>
  <c r="F13" i="1"/>
  <c r="S22" i="1" s="1"/>
  <c r="F14" i="1"/>
  <c r="F15" i="1"/>
  <c r="T22" i="1" s="1"/>
  <c r="F16" i="1"/>
  <c r="F17" i="1"/>
  <c r="F18" i="1"/>
  <c r="F19" i="1"/>
  <c r="U14" i="1"/>
  <c r="T16" i="1"/>
  <c r="T15" i="1"/>
  <c r="T14" i="1"/>
  <c r="U16" i="1"/>
  <c r="U15" i="1"/>
  <c r="U24" i="1"/>
  <c r="U23" i="1"/>
  <c r="T24" i="1"/>
  <c r="T23" i="1"/>
  <c r="S23" i="1"/>
  <c r="S24" i="1"/>
  <c r="S16" i="1"/>
  <c r="S15" i="1"/>
  <c r="S14" i="1"/>
  <c r="Z16" i="3" l="1"/>
  <c r="X16" i="3"/>
  <c r="X24" i="3"/>
  <c r="AJ21" i="3"/>
  <c r="AD14" i="3"/>
  <c r="AP16" i="3"/>
  <c r="AJ19" i="3"/>
  <c r="AJ13" i="3"/>
  <c r="T14" i="3"/>
  <c r="AJ23" i="3"/>
  <c r="AJ27" i="3"/>
  <c r="Z24" i="3"/>
  <c r="Y16" i="3"/>
  <c r="AI14" i="3"/>
  <c r="AK14" i="3"/>
  <c r="AD16" i="3"/>
  <c r="T15" i="3"/>
  <c r="S15" i="3"/>
  <c r="Y23" i="3"/>
  <c r="X23" i="3"/>
  <c r="T16" i="3"/>
  <c r="S16" i="3"/>
  <c r="Y15" i="3"/>
  <c r="AM15" i="1"/>
  <c r="U22" i="1"/>
  <c r="B134" i="1"/>
  <c r="F134" i="1" s="1"/>
  <c r="B133" i="1"/>
  <c r="F133" i="1" s="1"/>
  <c r="B132" i="1"/>
  <c r="F132" i="1" s="1"/>
  <c r="B131" i="1"/>
  <c r="F131" i="1" s="1"/>
  <c r="B130" i="1"/>
  <c r="F130" i="1" s="1"/>
  <c r="B129" i="1"/>
  <c r="F129" i="1" s="1"/>
  <c r="B128" i="1"/>
  <c r="F128" i="1" s="1"/>
  <c r="B127" i="1"/>
  <c r="F127" i="1" s="1"/>
  <c r="B126" i="1"/>
  <c r="F126" i="1" s="1"/>
  <c r="B125" i="1"/>
  <c r="F125" i="1" s="1"/>
  <c r="B124" i="1"/>
  <c r="F124" i="1" s="1"/>
  <c r="B123" i="1"/>
  <c r="F123" i="1" s="1"/>
  <c r="B122" i="1"/>
  <c r="F122" i="1" s="1"/>
  <c r="B121" i="1"/>
  <c r="F121" i="1" s="1"/>
  <c r="B120" i="1"/>
  <c r="F120" i="1" s="1"/>
  <c r="B119" i="1"/>
  <c r="F119" i="1" s="1"/>
  <c r="B118" i="1"/>
  <c r="F118" i="1" s="1"/>
  <c r="B117" i="1"/>
  <c r="F117" i="1" s="1"/>
  <c r="B116" i="1"/>
  <c r="F116" i="1" s="1"/>
  <c r="B115" i="1"/>
  <c r="F115" i="1" s="1"/>
  <c r="B114" i="1"/>
  <c r="F114" i="1" s="1"/>
  <c r="B113" i="1"/>
  <c r="F113" i="1" s="1"/>
  <c r="B112" i="1"/>
  <c r="F112" i="1" s="1"/>
  <c r="B111" i="1"/>
  <c r="F111" i="1" s="1"/>
  <c r="B110" i="1"/>
  <c r="F110" i="1" s="1"/>
  <c r="B109" i="1"/>
  <c r="F109" i="1" s="1"/>
  <c r="B108" i="1"/>
  <c r="F108" i="1" s="1"/>
  <c r="B135" i="1"/>
  <c r="F135" i="1" s="1"/>
  <c r="B107" i="1"/>
  <c r="F107" i="1" s="1"/>
  <c r="B98" i="1"/>
  <c r="F98" i="1" s="1"/>
  <c r="B97" i="1"/>
  <c r="F97" i="1" s="1"/>
  <c r="B96" i="1"/>
  <c r="F96" i="1" s="1"/>
  <c r="B95" i="1"/>
  <c r="F95" i="1" s="1"/>
  <c r="B94" i="1"/>
  <c r="F94" i="1" s="1"/>
  <c r="B93" i="1"/>
  <c r="F93" i="1" s="1"/>
  <c r="B92" i="1"/>
  <c r="F92" i="1" s="1"/>
  <c r="B91" i="1"/>
  <c r="F91" i="1" s="1"/>
  <c r="B90" i="1"/>
  <c r="F90" i="1" s="1"/>
  <c r="B89" i="1"/>
  <c r="F89" i="1" s="1"/>
  <c r="B88" i="1"/>
  <c r="F88" i="1" s="1"/>
  <c r="B87" i="1"/>
  <c r="F87" i="1" s="1"/>
  <c r="B86" i="1"/>
  <c r="F86" i="1" s="1"/>
  <c r="B85" i="1"/>
  <c r="F85" i="1" s="1"/>
  <c r="B84" i="1"/>
  <c r="F84" i="1" s="1"/>
  <c r="B83" i="1"/>
  <c r="F83" i="1" s="1"/>
  <c r="B82" i="1"/>
  <c r="F82" i="1" s="1"/>
  <c r="B81" i="1"/>
  <c r="F81" i="1" s="1"/>
  <c r="B72" i="1"/>
  <c r="F72" i="1" s="1"/>
  <c r="B71" i="1"/>
  <c r="F71" i="1" s="1"/>
  <c r="B70" i="1"/>
  <c r="F70" i="1" s="1"/>
  <c r="B69" i="1"/>
  <c r="F69" i="1" s="1"/>
  <c r="B68" i="1"/>
  <c r="F68" i="1" s="1"/>
  <c r="B67" i="1"/>
  <c r="F67" i="1" s="1"/>
  <c r="B66" i="1"/>
  <c r="F66" i="1" s="1"/>
  <c r="B65" i="1"/>
  <c r="F65" i="1" s="1"/>
  <c r="B64" i="1"/>
  <c r="F64" i="1" s="1"/>
  <c r="B63" i="1"/>
  <c r="F63" i="1" s="1"/>
  <c r="B62" i="1"/>
  <c r="F62" i="1" s="1"/>
  <c r="B61" i="1"/>
  <c r="F61" i="1" s="1"/>
  <c r="B60" i="1"/>
  <c r="F60" i="1" s="1"/>
  <c r="B59" i="1"/>
  <c r="F59" i="1" s="1"/>
  <c r="B58" i="1"/>
  <c r="F58" i="1" s="1"/>
  <c r="B57" i="1"/>
  <c r="F57" i="1" s="1"/>
  <c r="B56" i="1"/>
  <c r="F56" i="1" s="1"/>
  <c r="B55" i="1"/>
  <c r="F55" i="1" s="1"/>
  <c r="B47" i="1"/>
  <c r="F47" i="1" s="1"/>
  <c r="B46" i="1"/>
  <c r="F46" i="1" s="1"/>
  <c r="B45" i="1"/>
  <c r="F45" i="1" s="1"/>
  <c r="B44" i="1"/>
  <c r="F44" i="1" s="1"/>
  <c r="B43" i="1"/>
  <c r="F43" i="1" s="1"/>
  <c r="B42" i="1"/>
  <c r="F42" i="1" s="1"/>
  <c r="B41" i="1"/>
  <c r="F41" i="1" s="1"/>
  <c r="B40" i="1"/>
  <c r="F40" i="1" s="1"/>
  <c r="B39" i="1"/>
  <c r="F39" i="1" s="1"/>
  <c r="B38" i="1"/>
  <c r="F38" i="1" s="1"/>
  <c r="B37" i="1"/>
  <c r="F37" i="1" s="1"/>
  <c r="B36" i="1"/>
  <c r="F36" i="1" s="1"/>
  <c r="B35" i="1"/>
  <c r="F35" i="1" s="1"/>
  <c r="B34" i="1"/>
  <c r="F34" i="1" s="1"/>
  <c r="B33" i="1"/>
  <c r="F33" i="1" s="1"/>
  <c r="B32" i="1"/>
  <c r="F32" i="1" s="1"/>
  <c r="B31" i="1"/>
  <c r="F31" i="1" s="1"/>
  <c r="B30" i="1"/>
  <c r="F30" i="1" s="1"/>
  <c r="B21" i="1"/>
  <c r="F21" i="1" s="1"/>
  <c r="B20" i="1"/>
  <c r="F20" i="1" s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F7" i="1" s="1"/>
  <c r="B6" i="1"/>
  <c r="F6" i="1" s="1"/>
  <c r="B5" i="1"/>
  <c r="F5" i="1" s="1"/>
  <c r="B4" i="1"/>
  <c r="F4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82" i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I15" i="3" l="1"/>
  <c r="AK15" i="3"/>
  <c r="AD15" i="3"/>
  <c r="AC22" i="3"/>
  <c r="AC24" i="3"/>
  <c r="AM16" i="1"/>
  <c r="AE16" i="3" l="1"/>
  <c r="U16" i="3"/>
  <c r="AE14" i="3"/>
  <c r="U14" i="3"/>
  <c r="AC23" i="3"/>
  <c r="AI16" i="3"/>
  <c r="AK16" i="3"/>
  <c r="AM17" i="1"/>
  <c r="AD22" i="3" l="1"/>
  <c r="S22" i="3"/>
  <c r="AI17" i="3"/>
  <c r="AK17" i="3"/>
  <c r="AD24" i="3"/>
  <c r="S24" i="3"/>
  <c r="AE15" i="3"/>
  <c r="U15" i="3"/>
  <c r="AM18" i="1"/>
  <c r="AI18" i="3" l="1"/>
  <c r="AK18" i="3"/>
  <c r="AD23" i="3"/>
  <c r="S23" i="3"/>
  <c r="T22" i="3"/>
  <c r="T24" i="3"/>
  <c r="AM19" i="1"/>
  <c r="T23" i="3" l="1"/>
  <c r="AI19" i="3"/>
  <c r="AK19" i="3"/>
  <c r="AE24" i="3"/>
  <c r="U24" i="3"/>
  <c r="AE22" i="3"/>
  <c r="U22" i="3"/>
  <c r="AM20" i="1"/>
  <c r="AI20" i="3" l="1"/>
  <c r="AK20" i="3"/>
  <c r="AE23" i="3"/>
  <c r="U23" i="3"/>
  <c r="AM21" i="1"/>
  <c r="AI21" i="3" l="1"/>
  <c r="AK21" i="3"/>
  <c r="AM22" i="1"/>
  <c r="AI22" i="3" l="1"/>
  <c r="AK22" i="3"/>
  <c r="AM23" i="1"/>
  <c r="AI23" i="3" l="1"/>
  <c r="AK23" i="3"/>
  <c r="AM24" i="1"/>
  <c r="AI24" i="3" l="1"/>
  <c r="AK24" i="3"/>
  <c r="AM25" i="1"/>
  <c r="AI25" i="3" l="1"/>
  <c r="AK25" i="3"/>
  <c r="AM26" i="1"/>
  <c r="AI26" i="3" l="1"/>
  <c r="AK26" i="3"/>
  <c r="AM27" i="1"/>
  <c r="AI27" i="3" l="1"/>
  <c r="AK27" i="3"/>
  <c r="AM28" i="1"/>
  <c r="AI28" i="3" l="1"/>
  <c r="AK28" i="3"/>
  <c r="AM29" i="1"/>
  <c r="AK29" i="3" l="1"/>
  <c r="AI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<sst xmlns="http://schemas.openxmlformats.org/spreadsheetml/2006/main" count="339" uniqueCount="100">
  <si>
    <t>1 次低域フィルタ</t>
  </si>
  <si>
    <t>↓4.2.1で調整した電圧を入力(2V付近)</t>
    <rPh sb="7" eb="9">
      <t>チョウ</t>
    </rPh>
    <rPh sb="11" eb="13">
      <t>デンアテゥ</t>
    </rPh>
    <rPh sb="14" eb="16">
      <t>ニュウリョク</t>
    </rPh>
    <rPh sb="19" eb="21">
      <t>フキn</t>
    </rPh>
    <phoneticPr fontId="1"/>
  </si>
  <si>
    <t>※ここから右はエクセルでできる範囲の考察</t>
    <rPh sb="15" eb="17">
      <t>ハンイ</t>
    </rPh>
    <phoneticPr fontId="1"/>
  </si>
  <si>
    <t>↓入力・出力電圧は有効数字3桁</t>
    <rPh sb="1" eb="3">
      <t>ニュウリョク</t>
    </rPh>
    <rPh sb="4" eb="6">
      <t>シュテゥ</t>
    </rPh>
    <rPh sb="6" eb="8">
      <t>デンアテゥ</t>
    </rPh>
    <rPh sb="9" eb="13">
      <t>ユウコウ</t>
    </rPh>
    <rPh sb="14" eb="15">
      <t>ケタ</t>
    </rPh>
    <phoneticPr fontId="1"/>
  </si>
  <si>
    <t>↓可変減衰器の利得</t>
    <rPh sb="7" eb="9">
      <t>リトク</t>
    </rPh>
    <phoneticPr fontId="1"/>
  </si>
  <si>
    <t>↓式(1)より計算</t>
    <rPh sb="1" eb="2">
      <t>シキ</t>
    </rPh>
    <rPh sb="7" eb="9">
      <t>ケイサn</t>
    </rPh>
    <phoneticPr fontId="1"/>
  </si>
  <si>
    <t>[V]</t>
    <phoneticPr fontId="1"/>
  </si>
  <si>
    <t>考察2</t>
    <rPh sb="0" eb="2">
      <t>コウサテゥ</t>
    </rPh>
    <phoneticPr fontId="1"/>
  </si>
  <si>
    <t>考察3</t>
    <rPh sb="0" eb="2">
      <t>コウサテゥ</t>
    </rPh>
    <phoneticPr fontId="1"/>
  </si>
  <si>
    <t xml:space="preserve">考察4 </t>
    <rPh sb="0" eb="2">
      <t>コウサテゥ</t>
    </rPh>
    <phoneticPr fontId="1"/>
  </si>
  <si>
    <t>考察7</t>
    <rPh sb="0" eb="2">
      <t>コウサテゥ</t>
    </rPh>
    <phoneticPr fontId="1"/>
  </si>
  <si>
    <t>周波数[kHz]</t>
    <rPh sb="0" eb="3">
      <t>シュウ</t>
    </rPh>
    <phoneticPr fontId="1"/>
  </si>
  <si>
    <t>入力電圧Vi[V]</t>
    <phoneticPr fontId="1"/>
  </si>
  <si>
    <t>出力電圧Vo[V]</t>
    <rPh sb="0" eb="4">
      <t>シュテゥ</t>
    </rPh>
    <phoneticPr fontId="1"/>
  </si>
  <si>
    <t>減衰器減衰率[dB]</t>
    <rPh sb="0" eb="3">
      <t>ゲンスイ</t>
    </rPh>
    <rPh sb="3" eb="5">
      <t>ゲンスイ</t>
    </rPh>
    <rPh sb="5" eb="6">
      <t>リテゥ</t>
    </rPh>
    <phoneticPr fontId="1"/>
  </si>
  <si>
    <t>位相差[deg]</t>
    <rPh sb="0" eb="3">
      <t>イソウ</t>
    </rPh>
    <phoneticPr fontId="1"/>
  </si>
  <si>
    <t>振幅利得G[dB]</t>
    <rPh sb="0" eb="2">
      <t>シンプク</t>
    </rPh>
    <rPh sb="2" eb="4">
      <t>リトク</t>
    </rPh>
    <phoneticPr fontId="1"/>
  </si>
  <si>
    <t>oct=オクターブのことであり、1オクターブ増加=周波数2倍である。</t>
    <rPh sb="22" eb="24">
      <t>ゾウカ</t>
    </rPh>
    <rPh sb="25" eb="28">
      <t>シュウ</t>
    </rPh>
    <rPh sb="29" eb="30">
      <t>バイ</t>
    </rPh>
    <phoneticPr fontId="1"/>
  </si>
  <si>
    <t>考察2と同様に計算。</t>
    <rPh sb="0" eb="1">
      <t>コウサテゥ</t>
    </rPh>
    <rPh sb="4" eb="6">
      <t>ドウヨウ</t>
    </rPh>
    <phoneticPr fontId="1"/>
  </si>
  <si>
    <t>位相の傾き((位相2-位相1)/(周波数2-周波数1)</t>
    <rPh sb="0" eb="2">
      <t>イソウ</t>
    </rPh>
    <rPh sb="3" eb="4">
      <t>カタムキ</t>
    </rPh>
    <rPh sb="7" eb="9">
      <t>イソウ</t>
    </rPh>
    <rPh sb="11" eb="13">
      <t>イソウ</t>
    </rPh>
    <rPh sb="17" eb="20">
      <t>シュウ</t>
    </rPh>
    <rPh sb="22" eb="25">
      <t>シュウ</t>
    </rPh>
    <phoneticPr fontId="1"/>
  </si>
  <si>
    <t>一時低域フィルタの時の理論式を頑張って計算すると、</t>
    <rPh sb="0" eb="4">
      <t>イチジテ</t>
    </rPh>
    <rPh sb="9" eb="10">
      <t>トキ</t>
    </rPh>
    <rPh sb="11" eb="14">
      <t>リロn</t>
    </rPh>
    <rPh sb="15" eb="17">
      <t>ガンバッテ</t>
    </rPh>
    <rPh sb="19" eb="21">
      <t>ケイサn</t>
    </rPh>
    <phoneticPr fontId="1"/>
  </si>
  <si>
    <t>次に、2次バタワースの時の理論式を頑張って計算すると、</t>
    <rPh sb="0" eb="1">
      <t>ツギ</t>
    </rPh>
    <rPh sb="4" eb="5">
      <t xml:space="preserve">ジ </t>
    </rPh>
    <rPh sb="11" eb="12">
      <t>トキノ</t>
    </rPh>
    <rPh sb="13" eb="15">
      <t>リロンセィ</t>
    </rPh>
    <rPh sb="15" eb="16">
      <t>シキ</t>
    </rPh>
    <rPh sb="17" eb="19">
      <t>ガンバッテ</t>
    </rPh>
    <rPh sb="21" eb="23">
      <t>ケイサn</t>
    </rPh>
    <phoneticPr fontId="1"/>
  </si>
  <si>
    <t>グラフの作成(実験結果)</t>
    <rPh sb="4" eb="6">
      <t>サクセイ</t>
    </rPh>
    <rPh sb="7" eb="11">
      <t>ジッケンケク</t>
    </rPh>
    <phoneticPr fontId="1"/>
  </si>
  <si>
    <t>よって今回考えるのは、</t>
    <rPh sb="3" eb="5">
      <t>コンカイ</t>
    </rPh>
    <rPh sb="5" eb="6">
      <t>カンガエ</t>
    </rPh>
    <phoneticPr fontId="1"/>
  </si>
  <si>
    <t>を考えてみると、</t>
    <rPh sb="1" eb="2">
      <t>カンガエ</t>
    </rPh>
    <phoneticPr fontId="1"/>
  </si>
  <si>
    <t>1. 3次バタワース帯域フィルタ以外の4つの結果をまとめたもの(横軸:対数軸で周波数、縦軸：振幅利得)</t>
  </si>
  <si>
    <t>周波数=1,2,4,8→考察表1を使ってください。</t>
    <rPh sb="0" eb="3">
      <t>シュウ</t>
    </rPh>
    <rPh sb="12" eb="14">
      <t>コウサテゥ</t>
    </rPh>
    <rPh sb="14" eb="15">
      <t xml:space="preserve">ヒョウ </t>
    </rPh>
    <rPh sb="17" eb="18">
      <t>ツカッテ</t>
    </rPh>
    <phoneticPr fontId="1"/>
  </si>
  <si>
    <t>周波数=5,10,20,40→考察表2を使ってください。</t>
    <rPh sb="0" eb="3">
      <t>シュウ</t>
    </rPh>
    <phoneticPr fontId="1"/>
  </si>
  <si>
    <t>ω/fの値</t>
    <phoneticPr fontId="1"/>
  </si>
  <si>
    <t>のどれかしかない。</t>
    <phoneticPr fontId="1"/>
  </si>
  <si>
    <t>Rの値</t>
    <rPh sb="2" eb="3">
      <t>アタイ</t>
    </rPh>
    <phoneticPr fontId="1"/>
  </si>
  <si>
    <t>↑そもそも(2,4)とか(4,8)はなかったので皆考察表2を使ってください</t>
    <rPh sb="24" eb="25">
      <t>ミナ</t>
    </rPh>
    <rPh sb="25" eb="28">
      <t>コウサテゥ</t>
    </rPh>
    <rPh sb="30" eb="31">
      <t>ツカッテ</t>
    </rPh>
    <phoneticPr fontId="1"/>
  </si>
  <si>
    <t>Cの値</t>
    <rPh sb="2" eb="3">
      <t>アタイ</t>
    </rPh>
    <phoneticPr fontId="1"/>
  </si>
  <si>
    <t>となる。よって、これに代入した理論値と実測値を考察表３にまとめると、</t>
    <rPh sb="15" eb="18">
      <t>リロn</t>
    </rPh>
    <rPh sb="19" eb="22">
      <t>ジッソク</t>
    </rPh>
    <rPh sb="23" eb="26">
      <t>コウサテゥ</t>
    </rPh>
    <phoneticPr fontId="1"/>
  </si>
  <si>
    <t>となる。</t>
    <phoneticPr fontId="1"/>
  </si>
  <si>
    <t>Lの値</t>
    <phoneticPr fontId="1"/>
  </si>
  <si>
    <t>一時低域フィルタの時、図2よりR=5kΩ、C=12732pFで計算する。</t>
    <rPh sb="0" eb="4">
      <t>イチジテ</t>
    </rPh>
    <rPh sb="9" eb="10">
      <t>トキ</t>
    </rPh>
    <rPh sb="11" eb="12">
      <t xml:space="preserve">ズ </t>
    </rPh>
    <rPh sb="31" eb="33">
      <t>ケイサn</t>
    </rPh>
    <phoneticPr fontId="1"/>
  </si>
  <si>
    <t>よって、図3より、R=5kΩ、C=9003pF、L=225mHで計算すると、</t>
    <rPh sb="4" eb="5">
      <t xml:space="preserve">ズ </t>
    </rPh>
    <rPh sb="32" eb="34">
      <t>ケイサn</t>
    </rPh>
    <phoneticPr fontId="1"/>
  </si>
  <si>
    <t>考察表1</t>
    <rPh sb="0" eb="3">
      <t>コウサテゥ</t>
    </rPh>
    <phoneticPr fontId="1"/>
  </si>
  <si>
    <t>実測値位相差[deg]</t>
    <rPh sb="0" eb="3">
      <t>ジッソク</t>
    </rPh>
    <rPh sb="3" eb="6">
      <t>イソウ</t>
    </rPh>
    <phoneticPr fontId="1"/>
  </si>
  <si>
    <t>理論値位相差[deg]</t>
    <rPh sb="0" eb="3">
      <t>リロn</t>
    </rPh>
    <rPh sb="3" eb="6">
      <t>イソウ</t>
    </rPh>
    <phoneticPr fontId="1"/>
  </si>
  <si>
    <t>実測値振幅利得[dB]</t>
    <rPh sb="0" eb="3">
      <t>ジッソク</t>
    </rPh>
    <rPh sb="3" eb="5">
      <t>シンプク</t>
    </rPh>
    <rPh sb="5" eb="7">
      <t>リトク</t>
    </rPh>
    <phoneticPr fontId="1"/>
  </si>
  <si>
    <t>理論値振幅利得[dB]</t>
    <rPh sb="0" eb="3">
      <t>リロn</t>
    </rPh>
    <rPh sb="3" eb="5">
      <t>シンプク</t>
    </rPh>
    <rPh sb="5" eb="7">
      <t>リトク</t>
    </rPh>
    <phoneticPr fontId="1"/>
  </si>
  <si>
    <t>周波数の組</t>
    <rPh sb="0" eb="3">
      <t>シュウ</t>
    </rPh>
    <rPh sb="4" eb="5">
      <t xml:space="preserve">クミ </t>
    </rPh>
    <phoneticPr fontId="1"/>
  </si>
  <si>
    <t>周波数の組</t>
  </si>
  <si>
    <t>(1,2)</t>
    <phoneticPr fontId="1"/>
  </si>
  <si>
    <t>(2,4)</t>
    <phoneticPr fontId="1"/>
  </si>
  <si>
    <t>(4,8)</t>
    <phoneticPr fontId="1"/>
  </si>
  <si>
    <t>(1,2)</t>
  </si>
  <si>
    <t>(2,4)</t>
  </si>
  <si>
    <t>(4,8)</t>
  </si>
  <si>
    <t>↑正確な値は-16.40</t>
    <rPh sb="1" eb="3">
      <t>セイカク</t>
    </rPh>
    <rPh sb="4" eb="5">
      <t>アタイ</t>
    </rPh>
    <phoneticPr fontId="1"/>
  </si>
  <si>
    <t>↑正確な値は-6.19</t>
    <rPh sb="1" eb="3">
      <t>セイカク</t>
    </rPh>
    <rPh sb="4" eb="5">
      <t>アタイ</t>
    </rPh>
    <phoneticPr fontId="1"/>
  </si>
  <si>
    <t>←ここから周波数変化</t>
    <rPh sb="5" eb="8">
      <t>シュウ</t>
    </rPh>
    <rPh sb="8" eb="10">
      <t>ヘンカ</t>
    </rPh>
    <phoneticPr fontId="1"/>
  </si>
  <si>
    <t>1 次低域フィルタの傾き[dB/oct]</t>
    <rPh sb="10" eb="11">
      <t>カタムキ</t>
    </rPh>
    <phoneticPr fontId="1"/>
  </si>
  <si>
    <t>　　→</t>
    <phoneticPr fontId="1"/>
  </si>
  <si>
    <t>1 次低域フィルタの傾き[dB/oct]</t>
  </si>
  <si>
    <t>2次バタワース型低域フィルタの傾き[dB/oct]</t>
    <phoneticPr fontId="1"/>
  </si>
  <si>
    <t>3次バタワース型低域フィルタの傾き[dB/oct]</t>
    <phoneticPr fontId="1"/>
  </si>
  <si>
    <t>2次バタワース型低域フィルタの傾き[dB/oct]</t>
  </si>
  <si>
    <t>3次チェビシェフ型低域フィルタ[dB/oct]</t>
    <phoneticPr fontId="1"/>
  </si>
  <si>
    <t>3次バタワース型低域フィルタの傾き[dB/oct]</t>
  </si>
  <si>
    <t>考察表2</t>
    <rPh sb="0" eb="3">
      <t>コウサテゥ</t>
    </rPh>
    <phoneticPr fontId="1"/>
  </si>
  <si>
    <t>(5,10)</t>
    <phoneticPr fontId="1"/>
  </si>
  <si>
    <t>(10,20)</t>
    <phoneticPr fontId="1"/>
  </si>
  <si>
    <t>(20,40)</t>
    <phoneticPr fontId="1"/>
  </si>
  <si>
    <t xml:space="preserve">        →</t>
    <phoneticPr fontId="1"/>
  </si>
  <si>
    <t>2. 3次バタワースとチェビシェフの振幅特性が3dB付近以下のやつだけまとめた図</t>
  </si>
  <si>
    <t>2次バタワース型低域フィルタ</t>
    <rPh sb="1" eb="2">
      <t xml:space="preserve">ジ </t>
    </rPh>
    <rPh sb="7" eb="8">
      <t>ガタ</t>
    </rPh>
    <rPh sb="8" eb="10">
      <t>テイイキ</t>
    </rPh>
    <phoneticPr fontId="1"/>
  </si>
  <si>
    <t>周波数[kHz]</t>
  </si>
  <si>
    <t>これらの位相差と振幅利得をそれぞれグラフに表したものである。</t>
    <rPh sb="4" eb="7">
      <t>イソウ</t>
    </rPh>
    <rPh sb="8" eb="10">
      <t>シンプク</t>
    </rPh>
    <rPh sb="10" eb="12">
      <t>リトク</t>
    </rPh>
    <rPh sb="21" eb="22">
      <t>アラワセィ</t>
    </rPh>
    <phoneticPr fontId="1"/>
  </si>
  <si>
    <t>3. 3次バタワース帯域フィルタ以外の4つの結果をまとめたもの(横軸:対数軸で周波数、縦軸：位相差)</t>
  </si>
  <si>
    <t>3次バタワース型低域フィルタ</t>
    <rPh sb="1" eb="2">
      <t xml:space="preserve">ジ </t>
    </rPh>
    <rPh sb="7" eb="8">
      <t>ガタ</t>
    </rPh>
    <rPh sb="8" eb="10">
      <t>テイイキ</t>
    </rPh>
    <phoneticPr fontId="1"/>
  </si>
  <si>
    <t>4. 3次バタワース型帯域フィルタの位相差と振幅利得を記したグラフ</t>
  </si>
  <si>
    <t>3次チェビシェフ型低域フィルタ</t>
  </si>
  <si>
    <t>3次バタワース型帯域フィルタ</t>
  </si>
  <si>
    <t>a,bの関係(LPF)</t>
    <rPh sb="4" eb="6">
      <t>カンケイ</t>
    </rPh>
    <phoneticPr fontId="1"/>
  </si>
  <si>
    <t>f,mag(LPF1)</t>
    <phoneticPr fontId="1"/>
  </si>
  <si>
    <t>f,magの関係(BPF1)</t>
    <phoneticPr fontId="1"/>
  </si>
  <si>
    <t>y,tの関係(LPF2)</t>
    <phoneticPr fontId="1"/>
  </si>
  <si>
    <t>f,magの関係(BPF2)</t>
    <phoneticPr fontId="1"/>
  </si>
  <si>
    <t>y,tの関係(BPF2)</t>
    <rPh sb="4" eb="6">
      <t>カンケイ</t>
    </rPh>
    <phoneticPr fontId="1"/>
  </si>
  <si>
    <t>a</t>
    <phoneticPr fontId="1"/>
  </si>
  <si>
    <t>f</t>
    <phoneticPr fontId="1"/>
  </si>
  <si>
    <t>mag</t>
    <phoneticPr fontId="1"/>
  </si>
  <si>
    <t>y</t>
    <phoneticPr fontId="1"/>
  </si>
  <si>
    <t>t</t>
    <phoneticPr fontId="1"/>
  </si>
  <si>
    <t>b</t>
    <phoneticPr fontId="1"/>
  </si>
  <si>
    <t>a,bの関係(BPF)</t>
    <rPh sb="4" eb="6">
      <t>カンケイ</t>
    </rPh>
    <phoneticPr fontId="1"/>
  </si>
  <si>
    <t>a,bの関係(LPF2)</t>
    <phoneticPr fontId="1"/>
  </si>
  <si>
    <t>a,bの関係(BPF2)</t>
    <phoneticPr fontId="1"/>
  </si>
  <si>
    <t>1 次低域フィルタ</t>
    <rPh sb="2" eb="3">
      <t xml:space="preserve">ジ </t>
    </rPh>
    <rPh sb="3" eb="5">
      <t>テイイキ</t>
    </rPh>
    <phoneticPr fontId="1"/>
  </si>
  <si>
    <t>1. 3次バタワース帯域フィルタ以外の4つの結果をまとめたもの(横軸:対数軸で周波数、縦軸：振幅利得)</t>
    <phoneticPr fontId="1"/>
  </si>
  <si>
    <t>2. 3次バタワースとチェビシェフの振幅特性が3dB付近以下のやつだけまとめた図</t>
    <rPh sb="4" eb="5">
      <t xml:space="preserve">ジ </t>
    </rPh>
    <rPh sb="18" eb="22">
      <t>シンプク</t>
    </rPh>
    <rPh sb="26" eb="28">
      <t>フキn</t>
    </rPh>
    <rPh sb="28" eb="30">
      <t>イカ</t>
    </rPh>
    <rPh sb="39" eb="40">
      <t xml:space="preserve">ズ </t>
    </rPh>
    <phoneticPr fontId="1"/>
  </si>
  <si>
    <t>3. 3次バタワース帯域フィルタ以外の4つの結果をまとめたもの(横軸:対数軸で周波数、縦軸：位相差)</t>
    <rPh sb="32" eb="34">
      <t>ヨコ</t>
    </rPh>
    <rPh sb="35" eb="37">
      <t>タイス</t>
    </rPh>
    <rPh sb="37" eb="38">
      <t>ジク</t>
    </rPh>
    <rPh sb="39" eb="42">
      <t>シュウ</t>
    </rPh>
    <rPh sb="43" eb="45">
      <t>タテ</t>
    </rPh>
    <rPh sb="46" eb="49">
      <t>イソウ</t>
    </rPh>
    <phoneticPr fontId="1"/>
  </si>
  <si>
    <t>4. 3次バタワース型帯域フィルタの位相差と振幅利得を記したグラフ</t>
    <phoneticPr fontId="1"/>
  </si>
  <si>
    <t>3次チェビシェフ型低域フィルタ</t>
    <rPh sb="1" eb="2">
      <t xml:space="preserve">ジ </t>
    </rPh>
    <rPh sb="8" eb="9">
      <t>ガタ</t>
    </rPh>
    <rPh sb="9" eb="11">
      <t>テイイ</t>
    </rPh>
    <phoneticPr fontId="1"/>
  </si>
  <si>
    <t>3次バタワース型帯域フィルタ</t>
    <rPh sb="1" eb="2">
      <t xml:space="preserve">ジ </t>
    </rPh>
    <rPh sb="7" eb="8">
      <t>ガタ</t>
    </rPh>
    <rPh sb="8" eb="10">
      <t>タイイキ</t>
    </rPh>
    <phoneticPr fontId="1"/>
  </si>
  <si>
    <t>f,mag(LPF)</t>
    <phoneticPr fontId="1"/>
  </si>
  <si>
    <t>f,magの関係(LPF2)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</si>
</sst>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0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0" xfId="0" applyFill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0" borderId="0" xfId="0" applyFont="1">
      <alignment vertical="center"/>
    </xf>
    <xf numFmtId="0" fontId="2" fillId="0" borderId="15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176" fontId="0" fillId="0" borderId="10" xfId="0" applyNumberFormat="1" applyBorder="1">
      <alignment vertical="center"/>
    </xf>
    <xf numFmtId="177" fontId="0" fillId="0" borderId="3" xfId="0" applyNumberFormat="1" applyBorder="1">
      <alignment vertical="center"/>
    </xf>
    <xf numFmtId="2" fontId="0" fillId="0" borderId="3" xfId="0" applyNumberFormat="1" applyBorder="1">
      <alignment vertical="center"/>
    </xf>
    <xf numFmtId="177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5" xfId="0" applyNumberFormat="1" applyBorder="1">
      <alignment vertical="center"/>
    </xf>
    <xf numFmtId="2" fontId="0" fillId="0" borderId="0" xfId="0" applyNumberFormat="1">
      <alignment vertical="center"/>
    </xf>
    <xf numFmtId="2" fontId="0" fillId="0" borderId="5" xfId="0" applyNumberFormat="1" applyBorder="1">
      <alignment vertical="center"/>
    </xf>
    <xf numFmtId="177" fontId="0" fillId="0" borderId="11" xfId="0" applyNumberFormat="1" applyBorder="1">
      <alignment vertical="center"/>
    </xf>
    <xf numFmtId="176" fontId="0" fillId="0" borderId="15" xfId="0" applyNumberFormat="1" applyBorder="1">
      <alignment vertical="center"/>
    </xf>
    <xf numFmtId="177" fontId="0" fillId="0" borderId="6" xfId="0" applyNumberFormat="1" applyBorder="1">
      <alignment vertical="center"/>
    </xf>
    <xf numFmtId="2" fontId="0" fillId="0" borderId="6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6" xfId="0" applyNumberFormat="1" applyBorder="1">
      <alignment vertical="center"/>
    </xf>
    <xf numFmtId="178" fontId="0" fillId="0" borderId="3" xfId="0" applyNumberFormat="1" applyBorder="1">
      <alignment vertical="center"/>
    </xf>
    <xf numFmtId="11" fontId="0" fillId="0" borderId="0" xfId="0" applyNumberFormat="1">
      <alignment vertical="center"/>
    </xf>
    <xf numFmtId="178" fontId="0" fillId="0" borderId="6" xfId="0" applyNumberFormat="1" applyBorder="1">
      <alignment vertical="center"/>
    </xf>
    <xf numFmtId="2" fontId="0" fillId="0" borderId="2" xfId="0" applyNumberFormat="1" applyBorder="1">
      <alignment vertical="center"/>
    </xf>
    <xf numFmtId="2" fontId="0" fillId="0" borderId="4" xfId="0" applyNumberFormat="1" applyBorder="1">
      <alignment vertical="center"/>
    </xf>
    <xf numFmtId="176" fontId="0" fillId="0" borderId="13" xfId="0" applyNumberFormat="1" applyBorder="1">
      <alignment vertical="center"/>
    </xf>
    <xf numFmtId="2" fontId="0" fillId="0" borderId="12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1次低域フィルタ</c:v>
          </c:tx>
          <c:xVal>
            <c:numRef>
              <c:f>アナログフィルタ結果!$A$4:$A$21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アナログフィルタ結果!$F$4:$F$21</c:f>
              <c:numCache>
                <c:formatCode>General</c:formatCode>
                <c:ptCount val="18"/>
                <c:pt idx="0">
                  <c:v>-6.0205999132796233</c:v>
                </c:pt>
                <c:pt idx="1">
                  <c:v>-6.1960783994297266</c:v>
                </c:pt>
                <c:pt idx="2">
                  <c:v>-6.8397720668577513</c:v>
                </c:pt>
                <c:pt idx="3">
                  <c:v>-7.5350141920419897</c:v>
                </c:pt>
                <c:pt idx="4">
                  <c:v>-8.1787078594700144</c:v>
                </c:pt>
                <c:pt idx="5">
                  <c:v>-8.9954329388981176</c:v>
                </c:pt>
                <c:pt idx="6">
                  <c:v>-9.4991038592630943</c:v>
                </c:pt>
                <c:pt idx="7">
                  <c:v>-10.457574905606752</c:v>
                </c:pt>
                <c:pt idx="8">
                  <c:v>-10.903102799829796</c:v>
                </c:pt>
                <c:pt idx="9">
                  <c:v>-11.700533040583638</c:v>
                </c:pt>
                <c:pt idx="10">
                  <c:v>-14.199307772749638</c:v>
                </c:pt>
                <c:pt idx="11">
                  <c:v>-17.07743928643524</c:v>
                </c:pt>
                <c:pt idx="12">
                  <c:v>-18.416375079047501</c:v>
                </c:pt>
                <c:pt idx="13">
                  <c:v>-19.999999999999996</c:v>
                </c:pt>
                <c:pt idx="14">
                  <c:v>-21.411621485714143</c:v>
                </c:pt>
                <c:pt idx="15">
                  <c:v>-22.498774732165998</c:v>
                </c:pt>
                <c:pt idx="16">
                  <c:v>-23.098039199714862</c:v>
                </c:pt>
                <c:pt idx="17">
                  <c:v>-24.436974992327126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5-495E-A99D-9EB1756422E4}"/>
            </c:ext>
          </c:extLst>
        </c:ser>
        <c:ser>
          <c:idx val="2"/>
          <c:order val="1"/>
          <c:tx>
            <c:v>2次バタワース型低域フィルタ</c:v>
          </c:tx>
          <c:spPr>
            <a:effectLst/>
          </c:spPr>
          <c:xVal>
            <c:numRef>
              <c:f>アナログフィルタ結果!$A$30:$A$47</c:f>
              <c:numCache>
                <c:formatCode>0.000</c:formatCode>
                <c:ptCount val="18"/>
                <c:pt idx="0">
                  <c:v>1.05</c:v>
                </c:pt>
                <c:pt idx="1">
                  <c:v>2.0489999999999999</c:v>
                </c:pt>
                <c:pt idx="2">
                  <c:v>3.048</c:v>
                </c:pt>
                <c:pt idx="3">
                  <c:v>4</c:v>
                </c:pt>
                <c:pt idx="4">
                  <c:v>5.0599999999999996</c:v>
                </c:pt>
                <c:pt idx="5">
                  <c:v>6.024</c:v>
                </c:pt>
                <c:pt idx="6">
                  <c:v>7.0659999999999998</c:v>
                </c:pt>
                <c:pt idx="7">
                  <c:v>8.0050000000000008</c:v>
                </c:pt>
                <c:pt idx="8">
                  <c:v>9.0289999999999999</c:v>
                </c:pt>
                <c:pt idx="9">
                  <c:v>10.029999999999999</c:v>
                </c:pt>
                <c:pt idx="10">
                  <c:v>15</c:v>
                </c:pt>
                <c:pt idx="11">
                  <c:v>20.071999999999999</c:v>
                </c:pt>
                <c:pt idx="12">
                  <c:v>25.015999999999998</c:v>
                </c:pt>
                <c:pt idx="13">
                  <c:v>30.077999999999999</c:v>
                </c:pt>
                <c:pt idx="14">
                  <c:v>35.012</c:v>
                </c:pt>
                <c:pt idx="15">
                  <c:v>40.037999999999997</c:v>
                </c:pt>
                <c:pt idx="16">
                  <c:v>45.042999999999999</c:v>
                </c:pt>
                <c:pt idx="17">
                  <c:v>50.024000000000001</c:v>
                </c:pt>
              </c:numCache>
            </c:numRef>
          </c:xVal>
          <c:yVal>
            <c:numRef>
              <c:f>アナログフィルタ結果!$F$30:$F$47</c:f>
              <c:numCache>
                <c:formatCode>General</c:formatCode>
                <c:ptCount val="18"/>
                <c:pt idx="0">
                  <c:v>-5.9341724376267715</c:v>
                </c:pt>
                <c:pt idx="1">
                  <c:v>-6.0205999132796233</c:v>
                </c:pt>
                <c:pt idx="2">
                  <c:v>-6.2851652279547263</c:v>
                </c:pt>
                <c:pt idx="3">
                  <c:v>-7.1309464702762506</c:v>
                </c:pt>
                <c:pt idx="4">
                  <c:v>-8.7541427108705054</c:v>
                </c:pt>
                <c:pt idx="5">
                  <c:v>-10.172766123314545</c:v>
                </c:pt>
                <c:pt idx="6">
                  <c:v>-12.39577516576788</c:v>
                </c:pt>
                <c:pt idx="7">
                  <c:v>-14.199307772749638</c:v>
                </c:pt>
                <c:pt idx="8">
                  <c:v>-15.917600346881503</c:v>
                </c:pt>
                <c:pt idx="9">
                  <c:v>-17.721132953863265</c:v>
                </c:pt>
                <c:pt idx="10">
                  <c:v>-24.436974992327126</c:v>
                </c:pt>
                <c:pt idx="11">
                  <c:v>-27.95880017344075</c:v>
                </c:pt>
                <c:pt idx="12">
                  <c:v>-33.979400086720368</c:v>
                </c:pt>
                <c:pt idx="13">
                  <c:v>-36.478174818886373</c:v>
                </c:pt>
                <c:pt idx="14">
                  <c:v>-39.999999999999993</c:v>
                </c:pt>
                <c:pt idx="15">
                  <c:v>-42.498774732165998</c:v>
                </c:pt>
                <c:pt idx="16">
                  <c:v>-46.020599913279618</c:v>
                </c:pt>
                <c:pt idx="17">
                  <c:v>-47.958800173440743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5-495E-A99D-9EB1756422E4}"/>
            </c:ext>
          </c:extLst>
        </c:ser>
        <c:ser>
          <c:idx val="3"/>
          <c:order val="2"/>
          <c:tx>
            <c:v>3次バタワース型低域フィルタ</c:v>
          </c:tx>
          <c:spPr>
            <a:effectLst/>
          </c:spPr>
          <c:xVal>
            <c:numRef>
              <c:f>アナログフィルタ結果!$A$55:$A$72</c:f>
              <c:numCache>
                <c:formatCode>0.000</c:formatCode>
                <c:ptCount val="18"/>
                <c:pt idx="0">
                  <c:v>1.01</c:v>
                </c:pt>
                <c:pt idx="1">
                  <c:v>2.0579999999999998</c:v>
                </c:pt>
                <c:pt idx="2">
                  <c:v>3.0720000000000001</c:v>
                </c:pt>
                <c:pt idx="3">
                  <c:v>4.0330000000000004</c:v>
                </c:pt>
                <c:pt idx="4">
                  <c:v>5.0620000000000003</c:v>
                </c:pt>
                <c:pt idx="5">
                  <c:v>6.01</c:v>
                </c:pt>
                <c:pt idx="6">
                  <c:v>7.0039999999999996</c:v>
                </c:pt>
                <c:pt idx="7">
                  <c:v>8.0310000000000006</c:v>
                </c:pt>
                <c:pt idx="8">
                  <c:v>9.0459999999999994</c:v>
                </c:pt>
                <c:pt idx="9">
                  <c:v>10.009</c:v>
                </c:pt>
                <c:pt idx="10">
                  <c:v>15.096</c:v>
                </c:pt>
                <c:pt idx="11">
                  <c:v>20.062000000000001</c:v>
                </c:pt>
                <c:pt idx="12">
                  <c:v>25.055</c:v>
                </c:pt>
                <c:pt idx="13">
                  <c:v>30.094999999999999</c:v>
                </c:pt>
                <c:pt idx="14">
                  <c:v>35.055999999999997</c:v>
                </c:pt>
                <c:pt idx="15">
                  <c:v>40</c:v>
                </c:pt>
                <c:pt idx="16">
                  <c:v>45.058999999999997</c:v>
                </c:pt>
                <c:pt idx="17">
                  <c:v>50.084000000000003</c:v>
                </c:pt>
              </c:numCache>
            </c:numRef>
          </c:xVal>
          <c:yVal>
            <c:numRef>
              <c:f>アナログフィルタ結果!$F$55:$F$72</c:f>
              <c:numCache>
                <c:formatCode>General</c:formatCode>
                <c:ptCount val="18"/>
                <c:pt idx="0">
                  <c:v>-6.0205999132796233</c:v>
                </c:pt>
                <c:pt idx="1">
                  <c:v>-6.0205999132796233</c:v>
                </c:pt>
                <c:pt idx="2">
                  <c:v>-6.1078960213286244</c:v>
                </c:pt>
                <c:pt idx="3">
                  <c:v>-6.8397720668577513</c:v>
                </c:pt>
                <c:pt idx="4">
                  <c:v>-8.7541427108705054</c:v>
                </c:pt>
                <c:pt idx="5">
                  <c:v>-11.535082521263842</c:v>
                </c:pt>
                <c:pt idx="6">
                  <c:v>-14.424927980943419</c:v>
                </c:pt>
                <c:pt idx="7">
                  <c:v>-17.393324630099876</c:v>
                </c:pt>
                <c:pt idx="8">
                  <c:v>-20.915149811213503</c:v>
                </c:pt>
                <c:pt idx="9">
                  <c:v>-23.098039199714862</c:v>
                </c:pt>
                <c:pt idx="10">
                  <c:v>-34.656565431939718</c:v>
                </c:pt>
                <c:pt idx="11">
                  <c:v>-41.938200260161125</c:v>
                </c:pt>
                <c:pt idx="12">
                  <c:v>-47.958800173440743</c:v>
                </c:pt>
                <c:pt idx="13">
                  <c:v>-52.041199826559243</c:v>
                </c:pt>
                <c:pt idx="14">
                  <c:v>-56.478174818886366</c:v>
                </c:pt>
                <c:pt idx="15">
                  <c:v>-59.999999999999993</c:v>
                </c:pt>
                <c:pt idx="16">
                  <c:v>-66.020599913279611</c:v>
                </c:pt>
                <c:pt idx="17">
                  <c:v>-66.020599913279611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25-495E-A99D-9EB1756422E4}"/>
            </c:ext>
          </c:extLst>
        </c:ser>
        <c:ser>
          <c:idx val="0"/>
          <c:order val="3"/>
          <c:tx>
            <c:v>3次チェビシェフ型低域フィルタ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アナログフィルタ結果!$A$81:$A$98</c:f>
              <c:numCache>
                <c:formatCode>0.000</c:formatCode>
                <c:ptCount val="18"/>
                <c:pt idx="0">
                  <c:v>1.0049999999999999</c:v>
                </c:pt>
                <c:pt idx="1">
                  <c:v>2.004</c:v>
                </c:pt>
                <c:pt idx="2">
                  <c:v>3.03</c:v>
                </c:pt>
                <c:pt idx="3">
                  <c:v>4.0030000000000001</c:v>
                </c:pt>
                <c:pt idx="4">
                  <c:v>5.03</c:v>
                </c:pt>
                <c:pt idx="5">
                  <c:v>6.0679999999999996</c:v>
                </c:pt>
                <c:pt idx="6">
                  <c:v>7.0270000000000001</c:v>
                </c:pt>
                <c:pt idx="7">
                  <c:v>8.0039999999999996</c:v>
                </c:pt>
                <c:pt idx="8">
                  <c:v>9.0079999999999991</c:v>
                </c:pt>
                <c:pt idx="9">
                  <c:v>10.039999999999999</c:v>
                </c:pt>
                <c:pt idx="10">
                  <c:v>15.098000000000001</c:v>
                </c:pt>
                <c:pt idx="11">
                  <c:v>20.013999999999999</c:v>
                </c:pt>
                <c:pt idx="12">
                  <c:v>25.050999999999998</c:v>
                </c:pt>
                <c:pt idx="13">
                  <c:v>30.108000000000001</c:v>
                </c:pt>
                <c:pt idx="14">
                  <c:v>35.171999999999997</c:v>
                </c:pt>
                <c:pt idx="15">
                  <c:v>40.091999999999999</c:v>
                </c:pt>
                <c:pt idx="16">
                  <c:v>45.106000000000002</c:v>
                </c:pt>
                <c:pt idx="17">
                  <c:v>50.093000000000004</c:v>
                </c:pt>
              </c:numCache>
            </c:numRef>
          </c:xVal>
          <c:yVal>
            <c:numRef>
              <c:f>アナログフィルタ結果!$F$81:$F$98</c:f>
              <c:numCache>
                <c:formatCode>General</c:formatCode>
                <c:ptCount val="18"/>
                <c:pt idx="0">
                  <c:v>-6.3751752524882557</c:v>
                </c:pt>
                <c:pt idx="1">
                  <c:v>-6.7448433663685172</c:v>
                </c:pt>
                <c:pt idx="2">
                  <c:v>-6.7448433663685172</c:v>
                </c:pt>
                <c:pt idx="3">
                  <c:v>-6.2851652279547263</c:v>
                </c:pt>
                <c:pt idx="4">
                  <c:v>-8.4043280676637959</c:v>
                </c:pt>
                <c:pt idx="5">
                  <c:v>-13.555614105321613</c:v>
                </c:pt>
                <c:pt idx="6">
                  <c:v>-18.416375079047501</c:v>
                </c:pt>
                <c:pt idx="7">
                  <c:v>-21.938200260161128</c:v>
                </c:pt>
                <c:pt idx="8">
                  <c:v>-26.020599913279622</c:v>
                </c:pt>
                <c:pt idx="9">
                  <c:v>-29.499103859263091</c:v>
                </c:pt>
                <c:pt idx="10">
                  <c:v>-40.445527894223041</c:v>
                </c:pt>
                <c:pt idx="11">
                  <c:v>-47.958800173440743</c:v>
                </c:pt>
                <c:pt idx="12">
                  <c:v>-53.979400086720368</c:v>
                </c:pt>
                <c:pt idx="13">
                  <c:v>-56.478174818886366</c:v>
                </c:pt>
                <c:pt idx="14">
                  <c:v>-59.999999999999993</c:v>
                </c:pt>
                <c:pt idx="15">
                  <c:v>-67.958800173440736</c:v>
                </c:pt>
                <c:pt idx="16">
                  <c:v>-70.903102799829782</c:v>
                </c:pt>
                <c:pt idx="17">
                  <c:v>-73.979400086720375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25-495E-A99D-9EB17564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89007"/>
        <c:axId val="748564095"/>
      </c:scatterChart>
      <c:valAx>
        <c:axId val="85578900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8564095"/>
        <c:crosses val="autoZero"/>
        <c:crossBetween val="midCat"/>
      </c:valAx>
      <c:valAx>
        <c:axId val="74856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0"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G[dB]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578900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77308227651804E-2"/>
          <c:y val="0.58102016442648585"/>
          <c:w val="0.32658454992135583"/>
          <c:h val="0.2440143061822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3次バタワース型低域フィルタ</c:v>
          </c:tx>
          <c:xVal>
            <c:numRef>
              <c:f>アナログフィルタ結果!$A$55:$A$59</c:f>
              <c:numCache>
                <c:formatCode>0.000</c:formatCode>
                <c:ptCount val="5"/>
                <c:pt idx="0">
                  <c:v>1.01</c:v>
                </c:pt>
                <c:pt idx="1">
                  <c:v>2.0579999999999998</c:v>
                </c:pt>
                <c:pt idx="2">
                  <c:v>3.0720000000000001</c:v>
                </c:pt>
                <c:pt idx="3">
                  <c:v>4.0330000000000004</c:v>
                </c:pt>
                <c:pt idx="4">
                  <c:v>5.0620000000000003</c:v>
                </c:pt>
              </c:numCache>
            </c:numRef>
          </c:xVal>
          <c:yVal>
            <c:numRef>
              <c:f>アナログフィルタ結果!$F$55:$F$59</c:f>
              <c:numCache>
                <c:formatCode>General</c:formatCode>
                <c:ptCount val="5"/>
                <c:pt idx="0">
                  <c:v>-6.0205999132796233</c:v>
                </c:pt>
                <c:pt idx="1">
                  <c:v>-6.0205999132796233</c:v>
                </c:pt>
                <c:pt idx="2">
                  <c:v>-6.1078960213286244</c:v>
                </c:pt>
                <c:pt idx="3">
                  <c:v>-6.8397720668577513</c:v>
                </c:pt>
                <c:pt idx="4">
                  <c:v>-8.7541427108705054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0D-45E1-8C24-CF56FD572308}"/>
            </c:ext>
          </c:extLst>
        </c:ser>
        <c:ser>
          <c:idx val="0"/>
          <c:order val="1"/>
          <c:tx>
            <c:v>3次チェビシェフ型低域フィルタ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アナログフィルタ結果!$A$81:$A$85</c:f>
              <c:numCache>
                <c:formatCode>0.000</c:formatCode>
                <c:ptCount val="5"/>
                <c:pt idx="0">
                  <c:v>1.0049999999999999</c:v>
                </c:pt>
                <c:pt idx="1">
                  <c:v>2.004</c:v>
                </c:pt>
                <c:pt idx="2">
                  <c:v>3.03</c:v>
                </c:pt>
                <c:pt idx="3">
                  <c:v>4.0030000000000001</c:v>
                </c:pt>
                <c:pt idx="4">
                  <c:v>5.03</c:v>
                </c:pt>
              </c:numCache>
            </c:numRef>
          </c:xVal>
          <c:yVal>
            <c:numRef>
              <c:f>アナログフィルタ結果!$F$81:$F$85</c:f>
              <c:numCache>
                <c:formatCode>General</c:formatCode>
                <c:ptCount val="5"/>
                <c:pt idx="0">
                  <c:v>-6.3751752524882557</c:v>
                </c:pt>
                <c:pt idx="1">
                  <c:v>-6.7448433663685172</c:v>
                </c:pt>
                <c:pt idx="2">
                  <c:v>-6.7448433663685172</c:v>
                </c:pt>
                <c:pt idx="3">
                  <c:v>-6.2851652279547263</c:v>
                </c:pt>
                <c:pt idx="4">
                  <c:v>-8.4043280676637959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0D-45E1-8C24-CF56FD57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453951"/>
        <c:axId val="1097233839"/>
      </c:scatterChart>
      <c:valAx>
        <c:axId val="109745395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7233839"/>
        <c:crosses val="autoZero"/>
        <c:crossBetween val="midCat"/>
      </c:valAx>
      <c:valAx>
        <c:axId val="1097233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74539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7177666910065033E-2"/>
          <c:y val="0.62515740730218361"/>
          <c:w val="0.38829071544484878"/>
          <c:h val="9.3065257942338192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1 次低域フィルタ</c:v>
          </c:tx>
          <c:xVal>
            <c:numRef>
              <c:f>アナログフィルタ結果!$A$4:$A$21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アナログフィルタ結果!$E$4:$E$21</c:f>
              <c:numCache>
                <c:formatCode>0.0</c:formatCode>
                <c:ptCount val="18"/>
                <c:pt idx="0">
                  <c:v>-11.6</c:v>
                </c:pt>
                <c:pt idx="1">
                  <c:v>-19.600000000000001</c:v>
                </c:pt>
                <c:pt idx="2">
                  <c:v>-28.9</c:v>
                </c:pt>
                <c:pt idx="3">
                  <c:v>-37</c:v>
                </c:pt>
                <c:pt idx="4">
                  <c:v>-43.2</c:v>
                </c:pt>
                <c:pt idx="5">
                  <c:v>-48.8</c:v>
                </c:pt>
                <c:pt idx="6">
                  <c:v>-53.3</c:v>
                </c:pt>
                <c:pt idx="7">
                  <c:v>-57.6</c:v>
                </c:pt>
                <c:pt idx="8">
                  <c:v>-60.9</c:v>
                </c:pt>
                <c:pt idx="9">
                  <c:v>-63.7</c:v>
                </c:pt>
                <c:pt idx="10">
                  <c:v>-74</c:v>
                </c:pt>
                <c:pt idx="11">
                  <c:v>-80.900000000000006</c:v>
                </c:pt>
                <c:pt idx="12">
                  <c:v>-85.9</c:v>
                </c:pt>
                <c:pt idx="13">
                  <c:v>-88.7</c:v>
                </c:pt>
                <c:pt idx="14">
                  <c:v>-92.6</c:v>
                </c:pt>
                <c:pt idx="15">
                  <c:v>-95.8</c:v>
                </c:pt>
                <c:pt idx="16">
                  <c:v>-98.2</c:v>
                </c:pt>
                <c:pt idx="17">
                  <c:v>-100.6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A-4FAE-8673-7AB3BA8674EE}"/>
            </c:ext>
          </c:extLst>
        </c:ser>
        <c:ser>
          <c:idx val="2"/>
          <c:order val="1"/>
          <c:tx>
            <c:v>2次バタワース型低域フィルタ</c:v>
          </c:tx>
          <c:spPr>
            <a:effectLst/>
          </c:spPr>
          <c:xVal>
            <c:numRef>
              <c:f>アナログフィルタ結果!$A$30:$A$47</c:f>
              <c:numCache>
                <c:formatCode>0.000</c:formatCode>
                <c:ptCount val="18"/>
                <c:pt idx="0">
                  <c:v>1.05</c:v>
                </c:pt>
                <c:pt idx="1">
                  <c:v>2.0489999999999999</c:v>
                </c:pt>
                <c:pt idx="2">
                  <c:v>3.048</c:v>
                </c:pt>
                <c:pt idx="3">
                  <c:v>4</c:v>
                </c:pt>
                <c:pt idx="4">
                  <c:v>5.0599999999999996</c:v>
                </c:pt>
                <c:pt idx="5">
                  <c:v>6.024</c:v>
                </c:pt>
                <c:pt idx="6">
                  <c:v>7.0659999999999998</c:v>
                </c:pt>
                <c:pt idx="7">
                  <c:v>8.0050000000000008</c:v>
                </c:pt>
                <c:pt idx="8">
                  <c:v>9.0289999999999999</c:v>
                </c:pt>
                <c:pt idx="9">
                  <c:v>10.029999999999999</c:v>
                </c:pt>
                <c:pt idx="10">
                  <c:v>15</c:v>
                </c:pt>
                <c:pt idx="11">
                  <c:v>20.071999999999999</c:v>
                </c:pt>
                <c:pt idx="12">
                  <c:v>25.015999999999998</c:v>
                </c:pt>
                <c:pt idx="13">
                  <c:v>30.077999999999999</c:v>
                </c:pt>
                <c:pt idx="14">
                  <c:v>35.012</c:v>
                </c:pt>
                <c:pt idx="15">
                  <c:v>40.037999999999997</c:v>
                </c:pt>
                <c:pt idx="16">
                  <c:v>45.042999999999999</c:v>
                </c:pt>
                <c:pt idx="17">
                  <c:v>50.024000000000001</c:v>
                </c:pt>
              </c:numCache>
            </c:numRef>
          </c:xVal>
          <c:yVal>
            <c:numRef>
              <c:f>アナログフィルタ結果!$E$30:$E$47</c:f>
              <c:numCache>
                <c:formatCode>General</c:formatCode>
                <c:ptCount val="18"/>
                <c:pt idx="0">
                  <c:v>-18.100000000000001</c:v>
                </c:pt>
                <c:pt idx="1">
                  <c:v>-34.5</c:v>
                </c:pt>
                <c:pt idx="2">
                  <c:v>-54.3</c:v>
                </c:pt>
                <c:pt idx="3">
                  <c:v>-73.2</c:v>
                </c:pt>
                <c:pt idx="4">
                  <c:v>-92.9</c:v>
                </c:pt>
                <c:pt idx="5">
                  <c:v>-107.7</c:v>
                </c:pt>
                <c:pt idx="6">
                  <c:v>-120.6</c:v>
                </c:pt>
                <c:pt idx="7">
                  <c:v>-129.97</c:v>
                </c:pt>
                <c:pt idx="8">
                  <c:v>-138</c:v>
                </c:pt>
                <c:pt idx="9">
                  <c:v>-143.9</c:v>
                </c:pt>
                <c:pt idx="10">
                  <c:v>-163.6</c:v>
                </c:pt>
                <c:pt idx="11">
                  <c:v>-175.2</c:v>
                </c:pt>
                <c:pt idx="12">
                  <c:v>-181.6</c:v>
                </c:pt>
                <c:pt idx="13">
                  <c:v>-188.6</c:v>
                </c:pt>
                <c:pt idx="14">
                  <c:v>-194.5</c:v>
                </c:pt>
                <c:pt idx="15">
                  <c:v>-200.4</c:v>
                </c:pt>
                <c:pt idx="16">
                  <c:v>-206.1</c:v>
                </c:pt>
                <c:pt idx="17">
                  <c:v>-211.3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CA-4FAE-8673-7AB3BA8674EE}"/>
            </c:ext>
          </c:extLst>
        </c:ser>
        <c:ser>
          <c:idx val="3"/>
          <c:order val="2"/>
          <c:tx>
            <c:v>3次バタワース型低域フィルタ</c:v>
          </c:tx>
          <c:spPr>
            <a:effectLst/>
          </c:spPr>
          <c:xVal>
            <c:numRef>
              <c:f>アナログフィルタ結果!$A$55:$A$72</c:f>
              <c:numCache>
                <c:formatCode>0.000</c:formatCode>
                <c:ptCount val="18"/>
                <c:pt idx="0">
                  <c:v>1.01</c:v>
                </c:pt>
                <c:pt idx="1">
                  <c:v>2.0579999999999998</c:v>
                </c:pt>
                <c:pt idx="2">
                  <c:v>3.0720000000000001</c:v>
                </c:pt>
                <c:pt idx="3">
                  <c:v>4.0330000000000004</c:v>
                </c:pt>
                <c:pt idx="4">
                  <c:v>5.0620000000000003</c:v>
                </c:pt>
                <c:pt idx="5">
                  <c:v>6.01</c:v>
                </c:pt>
                <c:pt idx="6">
                  <c:v>7.0039999999999996</c:v>
                </c:pt>
                <c:pt idx="7">
                  <c:v>8.0310000000000006</c:v>
                </c:pt>
                <c:pt idx="8">
                  <c:v>9.0459999999999994</c:v>
                </c:pt>
                <c:pt idx="9">
                  <c:v>10.009</c:v>
                </c:pt>
                <c:pt idx="10">
                  <c:v>15.096</c:v>
                </c:pt>
                <c:pt idx="11">
                  <c:v>20.062000000000001</c:v>
                </c:pt>
                <c:pt idx="12">
                  <c:v>25.055</c:v>
                </c:pt>
                <c:pt idx="13">
                  <c:v>30.094999999999999</c:v>
                </c:pt>
                <c:pt idx="14">
                  <c:v>35.055999999999997</c:v>
                </c:pt>
                <c:pt idx="15">
                  <c:v>40</c:v>
                </c:pt>
                <c:pt idx="16">
                  <c:v>45.058999999999997</c:v>
                </c:pt>
                <c:pt idx="17">
                  <c:v>50.084000000000003</c:v>
                </c:pt>
              </c:numCache>
            </c:numRef>
          </c:xVal>
          <c:yVal>
            <c:numRef>
              <c:f>アナログフィルタ結果!$E$55:$E$72</c:f>
              <c:numCache>
                <c:formatCode>0.0</c:formatCode>
                <c:ptCount val="18"/>
                <c:pt idx="0">
                  <c:v>-24</c:v>
                </c:pt>
                <c:pt idx="1">
                  <c:v>-48.3</c:v>
                </c:pt>
                <c:pt idx="2">
                  <c:v>-76.099999999999994</c:v>
                </c:pt>
                <c:pt idx="3">
                  <c:v>-105.4</c:v>
                </c:pt>
                <c:pt idx="4">
                  <c:v>-137.1</c:v>
                </c:pt>
                <c:pt idx="5">
                  <c:v>-162</c:v>
                </c:pt>
                <c:pt idx="6">
                  <c:v>-179.6</c:v>
                </c:pt>
                <c:pt idx="7">
                  <c:v>-194.1</c:v>
                </c:pt>
                <c:pt idx="8">
                  <c:v>-205.2</c:v>
                </c:pt>
                <c:pt idx="9">
                  <c:v>-212.7</c:v>
                </c:pt>
                <c:pt idx="10">
                  <c:v>-236.5</c:v>
                </c:pt>
                <c:pt idx="11">
                  <c:v>-248.4</c:v>
                </c:pt>
                <c:pt idx="12">
                  <c:v>-256.3</c:v>
                </c:pt>
                <c:pt idx="13">
                  <c:v>-262.3</c:v>
                </c:pt>
                <c:pt idx="14">
                  <c:v>-267.89999999999998</c:v>
                </c:pt>
                <c:pt idx="15">
                  <c:v>-272.89999999999998</c:v>
                </c:pt>
                <c:pt idx="16">
                  <c:v>-278.8</c:v>
                </c:pt>
                <c:pt idx="17">
                  <c:v>-285.5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CA-4FAE-8673-7AB3BA8674EE}"/>
            </c:ext>
          </c:extLst>
        </c:ser>
        <c:ser>
          <c:idx val="0"/>
          <c:order val="3"/>
          <c:tx>
            <c:v>3次チェビシェフ型低域フィルタ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アナログフィルタ結果!$A$81:$A$98</c:f>
              <c:numCache>
                <c:formatCode>0.000</c:formatCode>
                <c:ptCount val="18"/>
                <c:pt idx="0">
                  <c:v>1.0049999999999999</c:v>
                </c:pt>
                <c:pt idx="1">
                  <c:v>2.004</c:v>
                </c:pt>
                <c:pt idx="2">
                  <c:v>3.03</c:v>
                </c:pt>
                <c:pt idx="3">
                  <c:v>4.0030000000000001</c:v>
                </c:pt>
                <c:pt idx="4">
                  <c:v>5.03</c:v>
                </c:pt>
                <c:pt idx="5">
                  <c:v>6.0679999999999996</c:v>
                </c:pt>
                <c:pt idx="6">
                  <c:v>7.0270000000000001</c:v>
                </c:pt>
                <c:pt idx="7">
                  <c:v>8.0039999999999996</c:v>
                </c:pt>
                <c:pt idx="8">
                  <c:v>9.0079999999999991</c:v>
                </c:pt>
                <c:pt idx="9">
                  <c:v>10.039999999999999</c:v>
                </c:pt>
                <c:pt idx="10">
                  <c:v>15.098000000000001</c:v>
                </c:pt>
                <c:pt idx="11">
                  <c:v>20.013999999999999</c:v>
                </c:pt>
                <c:pt idx="12">
                  <c:v>25.050999999999998</c:v>
                </c:pt>
                <c:pt idx="13">
                  <c:v>30.108000000000001</c:v>
                </c:pt>
                <c:pt idx="14">
                  <c:v>35.171999999999997</c:v>
                </c:pt>
                <c:pt idx="15">
                  <c:v>40.091999999999999</c:v>
                </c:pt>
                <c:pt idx="16">
                  <c:v>45.106000000000002</c:v>
                </c:pt>
                <c:pt idx="17">
                  <c:v>50.093000000000004</c:v>
                </c:pt>
              </c:numCache>
            </c:numRef>
          </c:xVal>
          <c:yVal>
            <c:numRef>
              <c:f>アナログフィルタ結果!$E$81:$E$98</c:f>
              <c:numCache>
                <c:formatCode>General</c:formatCode>
                <c:ptCount val="18"/>
                <c:pt idx="0">
                  <c:v>-29.9</c:v>
                </c:pt>
                <c:pt idx="1">
                  <c:v>-54.6</c:v>
                </c:pt>
                <c:pt idx="2">
                  <c:v>-82.4</c:v>
                </c:pt>
                <c:pt idx="3">
                  <c:v>-118.3</c:v>
                </c:pt>
                <c:pt idx="4">
                  <c:v>-168.4</c:v>
                </c:pt>
                <c:pt idx="5">
                  <c:v>-200.8</c:v>
                </c:pt>
                <c:pt idx="6">
                  <c:v>-217.7</c:v>
                </c:pt>
                <c:pt idx="7">
                  <c:v>-228</c:v>
                </c:pt>
                <c:pt idx="8">
                  <c:v>-235</c:v>
                </c:pt>
                <c:pt idx="9">
                  <c:v>-240.4</c:v>
                </c:pt>
                <c:pt idx="10">
                  <c:v>-254.4</c:v>
                </c:pt>
                <c:pt idx="11">
                  <c:v>-261.8</c:v>
                </c:pt>
                <c:pt idx="12">
                  <c:v>-267.60000000000002</c:v>
                </c:pt>
                <c:pt idx="13">
                  <c:v>-272.39999999999998</c:v>
                </c:pt>
                <c:pt idx="14">
                  <c:v>-277.89999999999998</c:v>
                </c:pt>
                <c:pt idx="15">
                  <c:v>-283.3</c:v>
                </c:pt>
                <c:pt idx="16">
                  <c:v>-290</c:v>
                </c:pt>
                <c:pt idx="17">
                  <c:v>-297.7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CA-4FAE-8673-7AB3BA86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98767"/>
        <c:axId val="566576976"/>
      </c:scatterChart>
      <c:valAx>
        <c:axId val="81429876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576976"/>
        <c:crosses val="autoZero"/>
        <c:crossBetween val="midCat"/>
      </c:valAx>
      <c:valAx>
        <c:axId val="566576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[deg]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9876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6313493253010021E-2"/>
          <c:y val="0.62518663122986096"/>
          <c:w val="0.38782239186207629"/>
          <c:h val="0.1622447491591598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位相差</c:v>
          </c:tx>
          <c:spPr>
            <a:ln w="25400">
              <a:solidFill>
                <a:schemeClr val="accent2"/>
              </a:solidFill>
            </a:ln>
          </c:spPr>
          <c:xVal>
            <c:numRef>
              <c:f>アナログフィルタ結果!$A$107:$A$135</c:f>
              <c:numCache>
                <c:formatCode>0.000</c:formatCode>
                <c:ptCount val="29"/>
                <c:pt idx="0">
                  <c:v>12.015000000000001</c:v>
                </c:pt>
                <c:pt idx="1">
                  <c:v>13.031000000000001</c:v>
                </c:pt>
                <c:pt idx="2">
                  <c:v>14</c:v>
                </c:pt>
                <c:pt idx="3">
                  <c:v>15.052</c:v>
                </c:pt>
                <c:pt idx="4">
                  <c:v>16.033000000000001</c:v>
                </c:pt>
                <c:pt idx="5">
                  <c:v>17.021000000000001</c:v>
                </c:pt>
                <c:pt idx="6">
                  <c:v>18.03</c:v>
                </c:pt>
                <c:pt idx="7">
                  <c:v>19.029</c:v>
                </c:pt>
                <c:pt idx="8">
                  <c:v>20.032</c:v>
                </c:pt>
                <c:pt idx="9">
                  <c:v>21.003</c:v>
                </c:pt>
                <c:pt idx="10">
                  <c:v>22.035</c:v>
                </c:pt>
                <c:pt idx="11">
                  <c:v>23.088000000000001</c:v>
                </c:pt>
                <c:pt idx="12">
                  <c:v>24.094999999999999</c:v>
                </c:pt>
                <c:pt idx="13">
                  <c:v>25.01</c:v>
                </c:pt>
                <c:pt idx="14">
                  <c:v>26.042000000000002</c:v>
                </c:pt>
                <c:pt idx="15">
                  <c:v>27.09</c:v>
                </c:pt>
                <c:pt idx="16">
                  <c:v>28.042000000000002</c:v>
                </c:pt>
                <c:pt idx="17">
                  <c:v>29.01</c:v>
                </c:pt>
                <c:pt idx="18">
                  <c:v>30.006</c:v>
                </c:pt>
                <c:pt idx="19">
                  <c:v>32</c:v>
                </c:pt>
                <c:pt idx="20">
                  <c:v>34.121000000000002</c:v>
                </c:pt>
                <c:pt idx="21">
                  <c:v>36.015000000000001</c:v>
                </c:pt>
                <c:pt idx="22">
                  <c:v>38.140999999999998</c:v>
                </c:pt>
                <c:pt idx="23">
                  <c:v>40.070999999999998</c:v>
                </c:pt>
              </c:numCache>
            </c:numRef>
          </c:xVal>
          <c:yVal>
            <c:numRef>
              <c:f>アナログフィルタ結果!$E$107:$E$135</c:f>
              <c:numCache>
                <c:formatCode>General</c:formatCode>
                <c:ptCount val="29"/>
                <c:pt idx="0">
                  <c:v>238.5</c:v>
                </c:pt>
                <c:pt idx="1">
                  <c:v>235.2</c:v>
                </c:pt>
                <c:pt idx="2">
                  <c:v>229.4</c:v>
                </c:pt>
                <c:pt idx="3">
                  <c:v>219.9</c:v>
                </c:pt>
                <c:pt idx="4">
                  <c:v>206.6</c:v>
                </c:pt>
                <c:pt idx="5">
                  <c:v>183.2</c:v>
                </c:pt>
                <c:pt idx="6">
                  <c:v>133.4</c:v>
                </c:pt>
                <c:pt idx="7">
                  <c:v>56.2</c:v>
                </c:pt>
                <c:pt idx="8">
                  <c:v>1.3</c:v>
                </c:pt>
                <c:pt idx="9">
                  <c:v>-47.8</c:v>
                </c:pt>
                <c:pt idx="10">
                  <c:v>-103.7</c:v>
                </c:pt>
                <c:pt idx="11">
                  <c:v>-155.9</c:v>
                </c:pt>
                <c:pt idx="12">
                  <c:v>-186</c:v>
                </c:pt>
                <c:pt idx="13">
                  <c:v>-204.2</c:v>
                </c:pt>
                <c:pt idx="14">
                  <c:v>-218</c:v>
                </c:pt>
                <c:pt idx="15">
                  <c:v>-227.5</c:v>
                </c:pt>
                <c:pt idx="16">
                  <c:v>-233.8</c:v>
                </c:pt>
                <c:pt idx="17">
                  <c:v>-239.2</c:v>
                </c:pt>
                <c:pt idx="18">
                  <c:v>-243.3</c:v>
                </c:pt>
                <c:pt idx="19">
                  <c:v>-250.1</c:v>
                </c:pt>
                <c:pt idx="20">
                  <c:v>-255.5</c:v>
                </c:pt>
                <c:pt idx="21">
                  <c:v>-259.2</c:v>
                </c:pt>
                <c:pt idx="22">
                  <c:v>-262.8</c:v>
                </c:pt>
                <c:pt idx="23">
                  <c:v>-265.89999999999998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E-40EA-BAFF-22C3B272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63647"/>
        <c:axId val="1388345631"/>
      </c:scatterChart>
      <c:scatterChart>
        <c:scatterStyle val="smoothMarker"/>
        <c:varyColors val="0"/>
        <c:ser>
          <c:idx val="0"/>
          <c:order val="1"/>
          <c:tx>
            <c:v>振幅利得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アナログフィルタ結果!$A$107:$A$135</c:f>
              <c:numCache>
                <c:formatCode>0.000</c:formatCode>
                <c:ptCount val="29"/>
                <c:pt idx="0">
                  <c:v>12.015000000000001</c:v>
                </c:pt>
                <c:pt idx="1">
                  <c:v>13.031000000000001</c:v>
                </c:pt>
                <c:pt idx="2">
                  <c:v>14</c:v>
                </c:pt>
                <c:pt idx="3">
                  <c:v>15.052</c:v>
                </c:pt>
                <c:pt idx="4">
                  <c:v>16.033000000000001</c:v>
                </c:pt>
                <c:pt idx="5">
                  <c:v>17.021000000000001</c:v>
                </c:pt>
                <c:pt idx="6">
                  <c:v>18.03</c:v>
                </c:pt>
                <c:pt idx="7">
                  <c:v>19.029</c:v>
                </c:pt>
                <c:pt idx="8">
                  <c:v>20.032</c:v>
                </c:pt>
                <c:pt idx="9">
                  <c:v>21.003</c:v>
                </c:pt>
                <c:pt idx="10">
                  <c:v>22.035</c:v>
                </c:pt>
                <c:pt idx="11">
                  <c:v>23.088000000000001</c:v>
                </c:pt>
                <c:pt idx="12">
                  <c:v>24.094999999999999</c:v>
                </c:pt>
                <c:pt idx="13">
                  <c:v>25.01</c:v>
                </c:pt>
                <c:pt idx="14">
                  <c:v>26.042000000000002</c:v>
                </c:pt>
                <c:pt idx="15">
                  <c:v>27.09</c:v>
                </c:pt>
                <c:pt idx="16">
                  <c:v>28.042000000000002</c:v>
                </c:pt>
                <c:pt idx="17">
                  <c:v>29.01</c:v>
                </c:pt>
                <c:pt idx="18">
                  <c:v>30.006</c:v>
                </c:pt>
                <c:pt idx="19">
                  <c:v>32</c:v>
                </c:pt>
                <c:pt idx="20">
                  <c:v>34.121000000000002</c:v>
                </c:pt>
                <c:pt idx="21">
                  <c:v>36.015000000000001</c:v>
                </c:pt>
                <c:pt idx="22">
                  <c:v>38.140999999999998</c:v>
                </c:pt>
                <c:pt idx="23">
                  <c:v>40.070999999999998</c:v>
                </c:pt>
              </c:numCache>
            </c:numRef>
          </c:xVal>
          <c:yVal>
            <c:numRef>
              <c:f>アナログフィルタ結果!$F$107:$F$135</c:f>
              <c:numCache>
                <c:formatCode>General</c:formatCode>
                <c:ptCount val="29"/>
                <c:pt idx="0">
                  <c:v>-46.020599913279618</c:v>
                </c:pt>
                <c:pt idx="1">
                  <c:v>-41.411621485714143</c:v>
                </c:pt>
                <c:pt idx="2">
                  <c:v>-37.077439286435244</c:v>
                </c:pt>
                <c:pt idx="3">
                  <c:v>-31.372724716820251</c:v>
                </c:pt>
                <c:pt idx="4">
                  <c:v>-24.436974992327126</c:v>
                </c:pt>
                <c:pt idx="5">
                  <c:v>-17.393324630099876</c:v>
                </c:pt>
                <c:pt idx="6">
                  <c:v>-9.0938576706835192</c:v>
                </c:pt>
                <c:pt idx="7">
                  <c:v>-6.5580428412856504</c:v>
                </c:pt>
                <c:pt idx="8">
                  <c:v>-7.0327997803813673</c:v>
                </c:pt>
                <c:pt idx="9">
                  <c:v>-7.3205368842065273</c:v>
                </c:pt>
                <c:pt idx="10">
                  <c:v>-8.7541427108705054</c:v>
                </c:pt>
                <c:pt idx="11">
                  <c:v>-13.112154526297783</c:v>
                </c:pt>
                <c:pt idx="12">
                  <c:v>-18.344292593670996</c:v>
                </c:pt>
                <c:pt idx="13">
                  <c:v>-22.498774732165998</c:v>
                </c:pt>
                <c:pt idx="14">
                  <c:v>-26.020599913279622</c:v>
                </c:pt>
                <c:pt idx="15">
                  <c:v>-31.213346123394743</c:v>
                </c:pt>
                <c:pt idx="16">
                  <c:v>-34.199307772749634</c:v>
                </c:pt>
                <c:pt idx="17">
                  <c:v>-37.077439286435244</c:v>
                </c:pt>
                <c:pt idx="18">
                  <c:v>-39.172146296835493</c:v>
                </c:pt>
                <c:pt idx="19">
                  <c:v>-43.098039199714854</c:v>
                </c:pt>
                <c:pt idx="20">
                  <c:v>-47.958800173440743</c:v>
                </c:pt>
                <c:pt idx="21">
                  <c:v>-51.056839373155611</c:v>
                </c:pt>
                <c:pt idx="22">
                  <c:v>-53.979400086720368</c:v>
                </c:pt>
                <c:pt idx="23">
                  <c:v>-56.478174818886366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1E-40EA-BAFF-22C3B272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983711"/>
        <c:axId val="1799776431"/>
      </c:scatterChart>
      <c:valAx>
        <c:axId val="672963647"/>
        <c:scaling>
          <c:logBase val="10"/>
          <c:orientation val="minMax"/>
          <c:max val="5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8345631"/>
        <c:crosses val="autoZero"/>
        <c:crossBetween val="midCat"/>
      </c:valAx>
      <c:valAx>
        <c:axId val="1388345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[deg]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2963647"/>
        <c:crosses val="autoZero"/>
        <c:crossBetween val="midCat"/>
      </c:valAx>
      <c:valAx>
        <c:axId val="1799776431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振幅値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9983711"/>
        <c:crosses val="max"/>
        <c:crossBetween val="midCat"/>
      </c:valAx>
      <c:valAx>
        <c:axId val="1799983711"/>
        <c:scaling>
          <c:logBase val="10"/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79977643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9267160868041078"/>
          <c:y val="3.6074630533975909E-2"/>
          <c:w val="0.14798892616658263"/>
          <c:h val="0.1179915438675229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58120167526477"/>
          <c:y val="0.20803613566303225"/>
          <c:w val="0.76693181961757151"/>
          <c:h val="0.58953598589460277"/>
        </c:manualLayout>
      </c:layout>
      <c:scatterChart>
        <c:scatterStyle val="smoothMarker"/>
        <c:varyColors val="0"/>
        <c:ser>
          <c:idx val="2"/>
          <c:order val="0"/>
          <c:tx>
            <c:v>位相差の実測値</c:v>
          </c:tx>
          <c:xVal>
            <c:numRef>
              <c:f>アナログフィルタ結果!$AG$12:$AG$29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アナログフィルタ結果!$AH$12:$AH$29</c:f>
              <c:numCache>
                <c:formatCode>General</c:formatCode>
                <c:ptCount val="18"/>
                <c:pt idx="0">
                  <c:v>-11.6</c:v>
                </c:pt>
                <c:pt idx="1">
                  <c:v>-19.600000000000001</c:v>
                </c:pt>
                <c:pt idx="2">
                  <c:v>-28.9</c:v>
                </c:pt>
                <c:pt idx="3">
                  <c:v>-37</c:v>
                </c:pt>
                <c:pt idx="4">
                  <c:v>-43.2</c:v>
                </c:pt>
                <c:pt idx="5">
                  <c:v>-48.8</c:v>
                </c:pt>
                <c:pt idx="6">
                  <c:v>-53.3</c:v>
                </c:pt>
                <c:pt idx="7">
                  <c:v>-57.6</c:v>
                </c:pt>
                <c:pt idx="8">
                  <c:v>-60.9</c:v>
                </c:pt>
                <c:pt idx="9">
                  <c:v>-63.7</c:v>
                </c:pt>
                <c:pt idx="10">
                  <c:v>-74</c:v>
                </c:pt>
                <c:pt idx="11">
                  <c:v>-80.900000000000006</c:v>
                </c:pt>
                <c:pt idx="12">
                  <c:v>-85.9</c:v>
                </c:pt>
                <c:pt idx="13">
                  <c:v>-88.7</c:v>
                </c:pt>
                <c:pt idx="14">
                  <c:v>-92.6</c:v>
                </c:pt>
                <c:pt idx="15">
                  <c:v>-95.8</c:v>
                </c:pt>
                <c:pt idx="16">
                  <c:v>-98.2</c:v>
                </c:pt>
                <c:pt idx="17">
                  <c:v>-100.6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0-4907-AD80-A833844F3AF2}"/>
            </c:ext>
          </c:extLst>
        </c:ser>
        <c:ser>
          <c:idx val="3"/>
          <c:order val="1"/>
          <c:tx>
            <c:v>位相差の理論値</c:v>
          </c:tx>
          <c:spPr>
            <a:effectLst/>
          </c:spPr>
          <c:xVal>
            <c:numRef>
              <c:f>アナログフィルタ結果!$AG$12:$AG$29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アナログフィルタ結果!$AI$12:$AI$29</c:f>
              <c:numCache>
                <c:formatCode>General</c:formatCode>
                <c:ptCount val="18"/>
                <c:pt idx="0">
                  <c:v>-11.74962878219527</c:v>
                </c:pt>
                <c:pt idx="1">
                  <c:v>-21.81067353773847</c:v>
                </c:pt>
                <c:pt idx="2">
                  <c:v>-30.971396429684962</c:v>
                </c:pt>
                <c:pt idx="3">
                  <c:v>-38.951204305248375</c:v>
                </c:pt>
                <c:pt idx="4">
                  <c:v>-45.044910204625026</c:v>
                </c:pt>
                <c:pt idx="5">
                  <c:v>-50.245158292705511</c:v>
                </c:pt>
                <c:pt idx="6">
                  <c:v>-54.5194688620088</c:v>
                </c:pt>
                <c:pt idx="7">
                  <c:v>-58.000253651385293</c:v>
                </c:pt>
                <c:pt idx="8">
                  <c:v>-60.952746390939666</c:v>
                </c:pt>
                <c:pt idx="9">
                  <c:v>-63.450271137802595</c:v>
                </c:pt>
                <c:pt idx="10">
                  <c:v>-71.569099984637319</c:v>
                </c:pt>
                <c:pt idx="11">
                  <c:v>-75.976134012269242</c:v>
                </c:pt>
                <c:pt idx="12">
                  <c:v>-78.727066917454849</c:v>
                </c:pt>
                <c:pt idx="13">
                  <c:v>-80.545744229654417</c:v>
                </c:pt>
                <c:pt idx="14">
                  <c:v>-81.878577164386357</c:v>
                </c:pt>
                <c:pt idx="15">
                  <c:v>-82.890069951289547</c:v>
                </c:pt>
                <c:pt idx="16">
                  <c:v>-83.666592776767985</c:v>
                </c:pt>
                <c:pt idx="17">
                  <c:v>-84.291272227961329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D0-4907-AD80-A833844F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62383"/>
        <c:axId val="1217939328"/>
      </c:scatterChart>
      <c:scatterChart>
        <c:scatterStyle val="smoothMarker"/>
        <c:varyColors val="0"/>
        <c:ser>
          <c:idx val="1"/>
          <c:order val="2"/>
          <c:tx>
            <c:v>振幅利得の実測値</c:v>
          </c:tx>
          <c:xVal>
            <c:numRef>
              <c:f>アナログフィルタ結果!$AG$12:$AG$29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アナログフィルタ結果!$AJ$12:$AJ$29</c:f>
              <c:numCache>
                <c:formatCode>General</c:formatCode>
                <c:ptCount val="18"/>
                <c:pt idx="0">
                  <c:v>-6.0205999132796233</c:v>
                </c:pt>
                <c:pt idx="1">
                  <c:v>-6.1960783994297266</c:v>
                </c:pt>
                <c:pt idx="2">
                  <c:v>-6.8397720668577513</c:v>
                </c:pt>
                <c:pt idx="3">
                  <c:v>-7.5350141920419897</c:v>
                </c:pt>
                <c:pt idx="4">
                  <c:v>-8.1787078594700144</c:v>
                </c:pt>
                <c:pt idx="5">
                  <c:v>-8.9954329388981176</c:v>
                </c:pt>
                <c:pt idx="6">
                  <c:v>-9.4991038592630943</c:v>
                </c:pt>
                <c:pt idx="7">
                  <c:v>-10.457574905606752</c:v>
                </c:pt>
                <c:pt idx="8">
                  <c:v>-10.903102799829796</c:v>
                </c:pt>
                <c:pt idx="9">
                  <c:v>-11.700533040583638</c:v>
                </c:pt>
                <c:pt idx="10">
                  <c:v>-14.199307772749638</c:v>
                </c:pt>
                <c:pt idx="11">
                  <c:v>-17.07743928643524</c:v>
                </c:pt>
                <c:pt idx="12">
                  <c:v>-18.416375079047501</c:v>
                </c:pt>
                <c:pt idx="13">
                  <c:v>-19.999999999999996</c:v>
                </c:pt>
                <c:pt idx="14">
                  <c:v>-21.411621485714143</c:v>
                </c:pt>
                <c:pt idx="15">
                  <c:v>-22.498774732165998</c:v>
                </c:pt>
                <c:pt idx="16">
                  <c:v>-23.098039199714862</c:v>
                </c:pt>
                <c:pt idx="17">
                  <c:v>-24.436974992327126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D0-4907-AD80-A833844F3AF2}"/>
            </c:ext>
          </c:extLst>
        </c:ser>
        <c:ser>
          <c:idx val="0"/>
          <c:order val="3"/>
          <c:tx>
            <c:v>振幅利得の理論値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アナログフィルタ結果!$AG$12:$AG$29</c:f>
              <c:numCache>
                <c:formatCode>0.000</c:formatCode>
                <c:ptCount val="18"/>
                <c:pt idx="0">
                  <c:v>1.04</c:v>
                </c:pt>
                <c:pt idx="1">
                  <c:v>2.0009999999999999</c:v>
                </c:pt>
                <c:pt idx="2">
                  <c:v>3.0009999999999999</c:v>
                </c:pt>
                <c:pt idx="3">
                  <c:v>4.0419999999999998</c:v>
                </c:pt>
                <c:pt idx="4">
                  <c:v>5.008</c:v>
                </c:pt>
                <c:pt idx="5">
                  <c:v>6.0110000000000001</c:v>
                </c:pt>
                <c:pt idx="6">
                  <c:v>7.0149999999999997</c:v>
                </c:pt>
                <c:pt idx="7">
                  <c:v>8.0020000000000007</c:v>
                </c:pt>
                <c:pt idx="8">
                  <c:v>9.0030000000000001</c:v>
                </c:pt>
                <c:pt idx="9">
                  <c:v>10.007</c:v>
                </c:pt>
                <c:pt idx="10">
                  <c:v>15.004</c:v>
                </c:pt>
                <c:pt idx="11">
                  <c:v>20.018999999999998</c:v>
                </c:pt>
                <c:pt idx="12">
                  <c:v>25.085000000000001</c:v>
                </c:pt>
                <c:pt idx="13">
                  <c:v>30.027000000000001</c:v>
                </c:pt>
                <c:pt idx="14">
                  <c:v>35.039000000000001</c:v>
                </c:pt>
                <c:pt idx="15">
                  <c:v>40.087000000000003</c:v>
                </c:pt>
                <c:pt idx="16">
                  <c:v>45.05</c:v>
                </c:pt>
                <c:pt idx="17">
                  <c:v>50.018000000000001</c:v>
                </c:pt>
              </c:numCache>
            </c:numRef>
          </c:xVal>
          <c:yVal>
            <c:numRef>
              <c:f>アナログフィルタ結果!$AK$12:$AK$29</c:f>
              <c:numCache>
                <c:formatCode>General</c:formatCode>
                <c:ptCount val="18"/>
                <c:pt idx="0">
                  <c:v>-6.2045309401766149</c:v>
                </c:pt>
                <c:pt idx="1">
                  <c:v>-6.6657416995986036</c:v>
                </c:pt>
                <c:pt idx="2">
                  <c:v>-7.3566840150459312</c:v>
                </c:pt>
                <c:pt idx="3">
                  <c:v>-8.2045630220927208</c:v>
                </c:pt>
                <c:pt idx="4">
                  <c:v>-9.0377134782684347</c:v>
                </c:pt>
                <c:pt idx="5">
                  <c:v>-9.9037350194036904</c:v>
                </c:pt>
                <c:pt idx="6">
                  <c:v>-10.74565841971455</c:v>
                </c:pt>
                <c:pt idx="7">
                  <c:v>-11.536467295606247</c:v>
                </c:pt>
                <c:pt idx="8">
                  <c:v>-12.29626454927342</c:v>
                </c:pt>
                <c:pt idx="9">
                  <c:v>-13.014947155502608</c:v>
                </c:pt>
                <c:pt idx="10">
                  <c:v>-16.022441495942267</c:v>
                </c:pt>
                <c:pt idx="11">
                  <c:v>-18.332598148460825</c:v>
                </c:pt>
                <c:pt idx="12">
                  <c:v>-20.198425634338047</c:v>
                </c:pt>
                <c:pt idx="13">
                  <c:v>-21.709957445260493</c:v>
                </c:pt>
                <c:pt idx="14">
                  <c:v>-23.019515488721755</c:v>
                </c:pt>
                <c:pt idx="15">
                  <c:v>-24.168049426231487</c:v>
                </c:pt>
                <c:pt idx="16">
                  <c:v>-25.168000076325235</c:v>
                </c:pt>
                <c:pt idx="17">
                  <c:v>-26.066641961166894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D0-4907-AD80-A833844F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79007"/>
        <c:axId val="1124072287"/>
      </c:scatterChart>
      <c:valAx>
        <c:axId val="364462383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939328"/>
        <c:crosses val="autoZero"/>
        <c:crossBetween val="midCat"/>
      </c:valAx>
      <c:valAx>
        <c:axId val="121793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4462383"/>
        <c:crosses val="autoZero"/>
        <c:crossBetween val="midCat"/>
      </c:valAx>
      <c:valAx>
        <c:axId val="112407228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479007"/>
        <c:crosses val="max"/>
        <c:crossBetween val="midCat"/>
      </c:valAx>
      <c:valAx>
        <c:axId val="1123479007"/>
        <c:scaling>
          <c:logBase val="10"/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12407228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3197936694960999"/>
          <c:y val="0.26051035828541519"/>
          <c:w val="0.22729015921805501"/>
          <c:h val="0.1621246269665491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1次低域フィルタ</c:v>
          </c:tx>
          <c:spPr>
            <a:ln w="25400">
              <a:noFill/>
            </a:ln>
          </c:spPr>
          <c:xVal>
            <c:numRef>
              <c:f>'アナログフィルタ(予備用)'!$A$4:$A$21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'アナログフィルタ(予備用)'!$F$4:$F$21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EE6-1847-A277-77ACF6D03A73}"/>
            </c:ext>
          </c:extLst>
        </c:ser>
        <c:ser>
          <c:idx val="2"/>
          <c:order val="1"/>
          <c:tx>
            <c:v>2次バタワース型低域フィルタ</c:v>
          </c:tx>
          <c:spPr>
            <a:ln w="25400" cap="rnd">
              <a:noFill/>
              <a:round/>
            </a:ln>
            <a:effectLst/>
          </c:spPr>
          <c:xVal>
            <c:numRef>
              <c:f>'アナログフィルタ(予備用)'!$A$30:$A$47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'アナログフィルタ(予備用)'!$F$30:$F$47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EE6-1847-A277-77ACF6D03A73}"/>
            </c:ext>
          </c:extLst>
        </c:ser>
        <c:ser>
          <c:idx val="3"/>
          <c:order val="2"/>
          <c:tx>
            <c:v>3次バタワース型低域フィルタ</c:v>
          </c:tx>
          <c:spPr>
            <a:ln w="25400" cap="rnd">
              <a:noFill/>
              <a:round/>
            </a:ln>
            <a:effectLst/>
          </c:spPr>
          <c:xVal>
            <c:numRef>
              <c:f>'アナログフィルタ(予備用)'!$A$55:$A$72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'アナログフィルタ(予備用)'!$F$55:$F$72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EE6-1847-A277-77ACF6D03A73}"/>
            </c:ext>
          </c:extLst>
        </c:ser>
        <c:ser>
          <c:idx val="0"/>
          <c:order val="3"/>
          <c:tx>
            <c:v>3次チェビシェフ型低域フィルタ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'アナログフィルタ(予備用)'!$A$81:$A$98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'アナログフィルタ(予備用)'!$B$81:$B$98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E6-1847-A277-77ACF6D03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89007"/>
        <c:axId val="748564095"/>
      </c:scatterChart>
      <c:valAx>
        <c:axId val="85578900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8564095"/>
        <c:crosses val="autoZero"/>
        <c:crossBetween val="midCat"/>
      </c:valAx>
      <c:valAx>
        <c:axId val="74856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 b="0"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G[dB]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578900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77308227651804E-2"/>
          <c:y val="0.58102016442648585"/>
          <c:w val="0.29755819979054932"/>
          <c:h val="0.14223444177474542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3次バタワース型低域フィルタ</c:v>
          </c:tx>
          <c:spPr>
            <a:ln w="25400">
              <a:noFill/>
            </a:ln>
          </c:spPr>
          <c:xVal>
            <c:numRef>
              <c:f>'アナログフィルタ(予備用)'!$A$55:$A$59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'アナログフィルタ(予備用)'!$F$55:$F$59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00-464C-8623-FE2AA9903439}"/>
            </c:ext>
          </c:extLst>
        </c:ser>
        <c:ser>
          <c:idx val="0"/>
          <c:order val="1"/>
          <c:tx>
            <c:v>3次チェビシェフ型低域フィルタ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'アナログフィルタ(予備用)'!$A$81:$A$85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'アナログフィルタ(予備用)'!$F$81:$F$85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00-464C-8623-FE2AA9903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453951"/>
        <c:axId val="1097233839"/>
      </c:scatterChart>
      <c:valAx>
        <c:axId val="109745395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7233839"/>
        <c:crosses val="autoZero"/>
        <c:crossBetween val="midCat"/>
      </c:valAx>
      <c:valAx>
        <c:axId val="1097233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74539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7177666910065033E-2"/>
          <c:y val="0.62515740730218361"/>
          <c:w val="0.27733090458383763"/>
          <c:h val="9.3065257942338192E-2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1 次低域フィルタ</c:v>
          </c:tx>
          <c:spPr>
            <a:ln w="25400">
              <a:noFill/>
            </a:ln>
          </c:spPr>
          <c:xVal>
            <c:numRef>
              <c:f>'アナログフィルタ(予備用)'!$A$4:$A$21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'アナログフィルタ(予備用)'!$E$4:$E$21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96F-344B-AB4C-F485AC54C536}"/>
            </c:ext>
          </c:extLst>
        </c:ser>
        <c:ser>
          <c:idx val="2"/>
          <c:order val="1"/>
          <c:tx>
            <c:v>2次バタワース型低域フィルタ</c:v>
          </c:tx>
          <c:spPr>
            <a:ln w="25400" cap="rnd">
              <a:noFill/>
              <a:round/>
            </a:ln>
            <a:effectLst/>
          </c:spPr>
          <c:xVal>
            <c:numRef>
              <c:f>'アナログフィルタ(予備用)'!$A$30:$A$47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'アナログフィルタ(予備用)'!$E$30:$E$47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96F-344B-AB4C-F485AC54C536}"/>
            </c:ext>
          </c:extLst>
        </c:ser>
        <c:ser>
          <c:idx val="3"/>
          <c:order val="2"/>
          <c:tx>
            <c:v>3次バタワース型低域フィルタ</c:v>
          </c:tx>
          <c:spPr>
            <a:ln w="25400" cap="rnd">
              <a:noFill/>
              <a:round/>
            </a:ln>
            <a:effectLst/>
          </c:spPr>
          <c:xVal>
            <c:numRef>
              <c:f>'アナログフィルタ(予備用)'!$A$55:$A$72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'アナログフィルタ(予備用)'!$E$55:$E$72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6F-344B-AB4C-F485AC54C536}"/>
            </c:ext>
          </c:extLst>
        </c:ser>
        <c:ser>
          <c:idx val="0"/>
          <c:order val="3"/>
          <c:tx>
            <c:v>3次チェビシェフ型低域フィルタ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'アナログフィルタ(予備用)'!$A$81:$A$98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'アナログフィルタ(予備用)'!$E$81:$E$98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96F-344B-AB4C-F485AC54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98767"/>
        <c:axId val="566576976"/>
      </c:scatterChart>
      <c:valAx>
        <c:axId val="81429876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576976"/>
        <c:crosses val="autoZero"/>
        <c:crossBetween val="midCat"/>
      </c:valAx>
      <c:valAx>
        <c:axId val="566576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[deg]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429876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5364704422000277E-2"/>
          <c:y val="0.59531627119162189"/>
          <c:w val="0.28101824414758214"/>
          <c:h val="0.13536129049426199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位相差</c:v>
          </c:tx>
          <c:spPr>
            <a:ln w="25400">
              <a:noFill/>
            </a:ln>
          </c:spPr>
          <c:xVal>
            <c:numRef>
              <c:f>'アナログフィルタ(予備用)'!$A$107:$A$135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xVal>
          <c:yVal>
            <c:numRef>
              <c:f>'アナログフィルタ(予備用)'!$E$107:$E$135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0AB-8C46-988B-09BA79C3A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63647"/>
        <c:axId val="1388345631"/>
      </c:scatterChart>
      <c:scatterChart>
        <c:scatterStyle val="lineMarker"/>
        <c:varyColors val="0"/>
        <c:ser>
          <c:idx val="0"/>
          <c:order val="1"/>
          <c:tx>
            <c:v>振幅利得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'アナログフィルタ(予備用)'!$A$107:$A$135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xVal>
          <c:yVal>
            <c:numRef>
              <c:f>'アナログフィルタ(予備用)'!$F$107:$F$135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0AB-8C46-988B-09BA79C3A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983711"/>
        <c:axId val="1799776431"/>
      </c:scatterChart>
      <c:valAx>
        <c:axId val="67296364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8345631"/>
        <c:crosses val="autoZero"/>
        <c:crossBetween val="midCat"/>
      </c:valAx>
      <c:valAx>
        <c:axId val="1388345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[deg]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2963647"/>
        <c:crosses val="autoZero"/>
        <c:crossBetween val="midCat"/>
      </c:valAx>
      <c:valAx>
        <c:axId val="1799776431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lang="ja-JP"/>
                </a:pPr>
                <a:r>
                  <a:rPr lang="ja-JP" altLang="en-US" b="0">
                    <a:latin typeface="+mj-ea"/>
                    <a:ea typeface="+mj-ea"/>
                  </a:rPr>
                  <a:t>振幅値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ja-JP"/>
          </a:p>
        </c:txPr>
        <c:crossAx val="1799983711"/>
        <c:crosses val="max"/>
        <c:crossBetween val="midCat"/>
      </c:valAx>
      <c:valAx>
        <c:axId val="1799983711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977643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9267160868041078"/>
          <c:y val="3.6074630533975909E-2"/>
          <c:w val="0.14798892616658263"/>
          <c:h val="0.11799154386752296"/>
        </c:manualLayout>
      </c:layout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58120167526477"/>
          <c:y val="0.20803613566303225"/>
          <c:w val="0.76693181961757151"/>
          <c:h val="0.58953598589460277"/>
        </c:manualLayout>
      </c:layout>
      <c:scatterChart>
        <c:scatterStyle val="lineMarker"/>
        <c:varyColors val="0"/>
        <c:ser>
          <c:idx val="2"/>
          <c:order val="0"/>
          <c:tx>
            <c:v>位相差の実測値</c:v>
          </c:tx>
          <c:spPr>
            <a:ln w="38100">
              <a:noFill/>
            </a:ln>
          </c:spPr>
          <c:xVal>
            <c:numRef>
              <c:f>'アナログフィルタ(予備用)'!$AG$12:$AG$29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'アナログフィルタ(予備用)'!$AH$12:$AH$29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07-8142-9753-607D39B7A735}"/>
            </c:ext>
          </c:extLst>
        </c:ser>
        <c:ser>
          <c:idx val="3"/>
          <c:order val="1"/>
          <c:tx>
            <c:v>位相差の理論値</c:v>
          </c:tx>
          <c:spPr>
            <a:ln w="25400" cap="rnd">
              <a:noFill/>
              <a:round/>
            </a:ln>
            <a:effectLst/>
          </c:spPr>
          <c:xVal>
            <c:numRef>
              <c:f>'アナログフィルタ(予備用)'!$AG$12:$AG$29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'アナログフィルタ(予備用)'!$AI$12:$AI$29</c:f>
              <c:numCache>
                <c:formatCode>General</c:formatCode>
                <c:ptCount val="18"/>
                <c:pt idx="0">
                  <c:v>-11.309590259557133</c:v>
                </c:pt>
                <c:pt idx="1">
                  <c:v>-21.800795858522307</c:v>
                </c:pt>
                <c:pt idx="2">
                  <c:v>-30.962971446318093</c:v>
                </c:pt>
                <c:pt idx="3">
                  <c:v>-38.658940188406802</c:v>
                </c:pt>
                <c:pt idx="4">
                  <c:v>-44.999110229641509</c:v>
                </c:pt>
                <c:pt idx="5">
                  <c:v>-50.193553721324761</c:v>
                </c:pt>
                <c:pt idx="6">
                  <c:v>-54.461480529122994</c:v>
                </c:pt>
                <c:pt idx="7">
                  <c:v>-57.993816992893173</c:v>
                </c:pt>
                <c:pt idx="8">
                  <c:v>-60.944640429326057</c:v>
                </c:pt>
                <c:pt idx="9">
                  <c:v>-63.434237000002675</c:v>
                </c:pt>
                <c:pt idx="10">
                  <c:v>-71.564517308230322</c:v>
                </c:pt>
                <c:pt idx="11">
                  <c:v>-75.96333781087317</c:v>
                </c:pt>
                <c:pt idx="12">
                  <c:v>-78.68972530170538</c:v>
                </c:pt>
                <c:pt idx="13">
                  <c:v>-80.537389213564822</c:v>
                </c:pt>
                <c:pt idx="14">
                  <c:v>-81.8696485064294</c:v>
                </c:pt>
                <c:pt idx="15">
                  <c:v>-82.874764627405597</c:v>
                </c:pt>
                <c:pt idx="16">
                  <c:v>-83.659612935686326</c:v>
                </c:pt>
                <c:pt idx="17">
                  <c:v>-84.289230667668136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07-8142-9753-607D39B7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62383"/>
        <c:axId val="1217939328"/>
      </c:scatterChart>
      <c:scatterChart>
        <c:scatterStyle val="lineMarker"/>
        <c:varyColors val="0"/>
        <c:ser>
          <c:idx val="1"/>
          <c:order val="2"/>
          <c:tx>
            <c:v>振幅利得の実測値</c:v>
          </c:tx>
          <c:spPr>
            <a:ln w="25400">
              <a:noFill/>
            </a:ln>
          </c:spPr>
          <c:xVal>
            <c:numRef>
              <c:f>'アナログフィルタ(予備用)'!$AG$12:$AG$29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'アナログフィルタ(予備用)'!$AJ$12:$AJ$29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07-8142-9753-607D39B7A735}"/>
            </c:ext>
          </c:extLst>
        </c:ser>
        <c:ser>
          <c:idx val="0"/>
          <c:order val="3"/>
          <c:tx>
            <c:v>振幅利得の理論値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'アナログフィルタ(予備用)'!$AG$12:$AG$29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</c:numCache>
            </c:numRef>
          </c:xVal>
          <c:yVal>
            <c:numRef>
              <c:f>'アナログフィルタ(予備用)'!$AK$12:$AK$29</c:f>
              <c:numCache>
                <c:formatCode>General</c:formatCode>
                <c:ptCount val="18"/>
                <c:pt idx="0">
                  <c:v>-6.1909229306658551</c:v>
                </c:pt>
                <c:pt idx="1">
                  <c:v>-6.6651425963799511</c:v>
                </c:pt>
                <c:pt idx="2">
                  <c:v>-7.3559175879280456</c:v>
                </c:pt>
                <c:pt idx="3">
                  <c:v>-8.1689331182099778</c:v>
                </c:pt>
                <c:pt idx="4">
                  <c:v>-9.0307649851655185</c:v>
                </c:pt>
                <c:pt idx="5">
                  <c:v>-9.8943389679869416</c:v>
                </c:pt>
                <c:pt idx="6">
                  <c:v>-10.733338391808726</c:v>
                </c:pt>
                <c:pt idx="7">
                  <c:v>-11.534905900132058</c:v>
                </c:pt>
                <c:pt idx="8">
                  <c:v>-12.294052332891772</c:v>
                </c:pt>
                <c:pt idx="9">
                  <c:v>-13.010084139022638</c:v>
                </c:pt>
                <c:pt idx="10">
                  <c:v>-16.020357117706197</c:v>
                </c:pt>
                <c:pt idx="11">
                  <c:v>-18.324835222870007</c:v>
                </c:pt>
                <c:pt idx="12">
                  <c:v>-20.170073995511849</c:v>
                </c:pt>
                <c:pt idx="13">
                  <c:v>-21.702354671653659</c:v>
                </c:pt>
                <c:pt idx="14">
                  <c:v>-23.010035578580723</c:v>
                </c:pt>
                <c:pt idx="15">
                  <c:v>-24.149467856502412</c:v>
                </c:pt>
                <c:pt idx="16">
                  <c:v>-25.158471953443602</c:v>
                </c:pt>
                <c:pt idx="17">
                  <c:v>-26.063546548517632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07-8142-9753-607D39B7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79007"/>
        <c:axId val="1124072287"/>
      </c:scatterChart>
      <c:valAx>
        <c:axId val="364462383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周波数</a:t>
                </a:r>
                <a:r>
                  <a:rPr lang="en-US" altLang="ja-JP" b="0">
                    <a:latin typeface="+mj-ea"/>
                    <a:ea typeface="+mj-ea"/>
                  </a:rPr>
                  <a:t>[kHz]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939328"/>
        <c:crosses val="autoZero"/>
        <c:crossBetween val="midCat"/>
      </c:valAx>
      <c:valAx>
        <c:axId val="121793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位相差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4462383"/>
        <c:crosses val="autoZero"/>
        <c:crossBetween val="midCat"/>
      </c:valAx>
      <c:valAx>
        <c:axId val="112407228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+mj-ea"/>
                    <a:ea typeface="+mj-ea"/>
                  </a:rPr>
                  <a:t>振幅利得</a:t>
                </a:r>
                <a:r>
                  <a:rPr lang="en-US" altLang="ja-JP" b="0">
                    <a:latin typeface="+mj-ea"/>
                    <a:ea typeface="+mj-ea"/>
                  </a:rPr>
                  <a:t>[dB]</a:t>
                </a:r>
                <a:endParaRPr lang="ja-JP" altLang="en-US" b="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479007"/>
        <c:crosses val="max"/>
        <c:crossBetween val="midCat"/>
      </c:valAx>
      <c:valAx>
        <c:axId val="1123479007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407228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5613232420582357"/>
          <c:y val="0.25320145126095767"/>
          <c:w val="0.22729015921805501"/>
          <c:h val="0.1796718810648121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jpeg"/><Relationship Id="rId5" Type="http://schemas.openxmlformats.org/officeDocument/2006/relationships/image" Target="../media/image1.jpeg"/><Relationship Id="rId4" Type="http://schemas.openxmlformats.org/officeDocument/2006/relationships/chart" Target="../charts/chart4.xml"/><Relationship Id="rId9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chart" Target="../charts/chart8.xml"/><Relationship Id="rId7" Type="http://schemas.openxmlformats.org/officeDocument/2006/relationships/chart" Target="../charts/chart10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chart" Target="../charts/chart9.xml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38069</xdr:colOff>
      <xdr:row>5</xdr:row>
      <xdr:rowOff>13951</xdr:rowOff>
    </xdr:from>
    <xdr:to>
      <xdr:col>15</xdr:col>
      <xdr:colOff>660400</xdr:colOff>
      <xdr:row>22</xdr:row>
      <xdr:rowOff>193040</xdr:rowOff>
    </xdr:to>
    <xdr:graphicFrame macro="">
      <xdr:nvGraphicFramePr>
        <xdr:cNvPr id="79" name="グラフ 1">
          <a:extLst>
            <a:ext uri="{FF2B5EF4-FFF2-40B4-BE49-F238E27FC236}">
              <a16:creationId xmlns:a16="http://schemas.microsoft.com/office/drawing/2014/main" id="{D029796A-0738-4125-9B75-14C814ED3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760439</xdr:colOff>
      <xdr:row>27</xdr:row>
      <xdr:rowOff>44876</xdr:rowOff>
    </xdr:from>
    <xdr:to>
      <xdr:col>15</xdr:col>
      <xdr:colOff>450942</xdr:colOff>
      <xdr:row>41</xdr:row>
      <xdr:rowOff>184702</xdr:rowOff>
    </xdr:to>
    <xdr:graphicFrame macro="">
      <xdr:nvGraphicFramePr>
        <xdr:cNvPr id="80" name="グラフ 2">
          <a:extLst>
            <a:ext uri="{FF2B5EF4-FFF2-40B4-BE49-F238E27FC236}">
              <a16:creationId xmlns:a16="http://schemas.microsoft.com/office/drawing/2014/main" id="{4F18980B-069A-4222-946D-6832CB4DF33C}"/>
            </a:ext>
            <a:ext uri="{147F2762-F138-4A5C-976F-8EAC2B608ADB}">
              <a16:predDERef xmlns:a16="http://schemas.microsoft.com/office/drawing/2014/main" pred="{D029796A-0738-4125-9B75-14C814ED3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821636</xdr:colOff>
      <xdr:row>46</xdr:row>
      <xdr:rowOff>96079</xdr:rowOff>
    </xdr:from>
    <xdr:to>
      <xdr:col>15</xdr:col>
      <xdr:colOff>542104</xdr:colOff>
      <xdr:row>63</xdr:row>
      <xdr:rowOff>56864</xdr:rowOff>
    </xdr:to>
    <xdr:graphicFrame macro="">
      <xdr:nvGraphicFramePr>
        <xdr:cNvPr id="83" name="グラフ 3">
          <a:extLst>
            <a:ext uri="{FF2B5EF4-FFF2-40B4-BE49-F238E27FC236}">
              <a16:creationId xmlns:a16="http://schemas.microsoft.com/office/drawing/2014/main" id="{39D28315-EC3D-4CEF-ABB9-986FEA98B839}"/>
            </a:ext>
            <a:ext uri="{147F2762-F138-4A5C-976F-8EAC2B608ADB}">
              <a16:predDERef xmlns:a16="http://schemas.microsoft.com/office/drawing/2014/main" pred="{4F18980B-069A-4222-946D-6832CB4DF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833039</xdr:colOff>
      <xdr:row>66</xdr:row>
      <xdr:rowOff>218394</xdr:rowOff>
    </xdr:from>
    <xdr:to>
      <xdr:col>15</xdr:col>
      <xdr:colOff>404187</xdr:colOff>
      <xdr:row>83</xdr:row>
      <xdr:rowOff>52263</xdr:rowOff>
    </xdr:to>
    <xdr:graphicFrame macro="">
      <xdr:nvGraphicFramePr>
        <xdr:cNvPr id="85" name="グラフ 4">
          <a:extLst>
            <a:ext uri="{FF2B5EF4-FFF2-40B4-BE49-F238E27FC236}">
              <a16:creationId xmlns:a16="http://schemas.microsoft.com/office/drawing/2014/main" id="{87FC5FC6-2A8D-4C3F-9319-C8E3D6F3B6D1}"/>
            </a:ext>
            <a:ext uri="{147F2762-F138-4A5C-976F-8EAC2B608ADB}">
              <a16:predDERef xmlns:a16="http://schemas.microsoft.com/office/drawing/2014/main" pred="{39D28315-EC3D-4CEF-ABB9-986FEA98B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32</xdr:col>
      <xdr:colOff>0</xdr:colOff>
      <xdr:row>3</xdr:row>
      <xdr:rowOff>0</xdr:rowOff>
    </xdr:from>
    <xdr:to>
      <xdr:col>34</xdr:col>
      <xdr:colOff>497808</xdr:colOff>
      <xdr:row>5</xdr:row>
      <xdr:rowOff>3874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864E6AA-9A0D-4E9F-A4CC-DCCC1CED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75" y="757238"/>
          <a:ext cx="2776188" cy="506794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34</xdr:col>
      <xdr:colOff>497808</xdr:colOff>
      <xdr:row>7</xdr:row>
      <xdr:rowOff>3873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0A88244-47A6-445F-9F19-63621476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75" y="1262063"/>
          <a:ext cx="2776188" cy="506793"/>
        </a:xfrm>
        <a:prstGeom prst="rect">
          <a:avLst/>
        </a:prstGeom>
      </xdr:spPr>
    </xdr:pic>
    <xdr:clientData/>
  </xdr:twoCellAnchor>
  <xdr:twoCellAnchor>
    <xdr:from>
      <xdr:col>32</xdr:col>
      <xdr:colOff>3582</xdr:colOff>
      <xdr:row>31</xdr:row>
      <xdr:rowOff>15138</xdr:rowOff>
    </xdr:from>
    <xdr:to>
      <xdr:col>36</xdr:col>
      <xdr:colOff>1531121</xdr:colOff>
      <xdr:row>49</xdr:row>
      <xdr:rowOff>59346</xdr:rowOff>
    </xdr:to>
    <xdr:graphicFrame macro="">
      <xdr:nvGraphicFramePr>
        <xdr:cNvPr id="66" name="グラフ 9">
          <a:extLst>
            <a:ext uri="{FF2B5EF4-FFF2-40B4-BE49-F238E27FC236}">
              <a16:creationId xmlns:a16="http://schemas.microsoft.com/office/drawing/2014/main" id="{525CC097-89C0-4AFA-9FFC-E99017AF3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37</xdr:col>
      <xdr:colOff>923925</xdr:colOff>
      <xdr:row>3</xdr:row>
      <xdr:rowOff>57151</xdr:rowOff>
    </xdr:from>
    <xdr:to>
      <xdr:col>41</xdr:col>
      <xdr:colOff>270814</xdr:colOff>
      <xdr:row>5</xdr:row>
      <xdr:rowOff>64473</xdr:rowOff>
    </xdr:to>
    <xdr:pic>
      <xdr:nvPicPr>
        <xdr:cNvPr id="69" name="図 23">
          <a:extLst>
            <a:ext uri="{FF2B5EF4-FFF2-40B4-BE49-F238E27FC236}">
              <a16:creationId xmlns:a16="http://schemas.microsoft.com/office/drawing/2014/main" id="{513B1632-8AF3-4CB7-9C0B-AEFD34CA793D}"/>
            </a:ext>
            <a:ext uri="{147F2762-F138-4A5C-976F-8EAC2B608ADB}">
              <a16:predDERef xmlns:a16="http://schemas.microsoft.com/office/drawing/2014/main" pred="{525CC097-89C0-4AFA-9FFC-E99017AF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6175" y="800101"/>
          <a:ext cx="3903649" cy="51024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40</xdr:col>
      <xdr:colOff>661061</xdr:colOff>
      <xdr:row>7</xdr:row>
      <xdr:rowOff>77880</xdr:rowOff>
    </xdr:to>
    <xdr:pic>
      <xdr:nvPicPr>
        <xdr:cNvPr id="10" name="図 26">
          <a:extLst>
            <a:ext uri="{FF2B5EF4-FFF2-40B4-BE49-F238E27FC236}">
              <a16:creationId xmlns:a16="http://schemas.microsoft.com/office/drawing/2014/main" id="{AEAD8EBE-6B2A-48AC-9DF1-66F10FDA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4525" y="1262063"/>
          <a:ext cx="2924201" cy="58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38069</xdr:colOff>
      <xdr:row>5</xdr:row>
      <xdr:rowOff>13951</xdr:rowOff>
    </xdr:from>
    <xdr:to>
      <xdr:col>15</xdr:col>
      <xdr:colOff>660400</xdr:colOff>
      <xdr:row>22</xdr:row>
      <xdr:rowOff>193040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31A8155-9D9E-D2AB-38E2-FC971AD19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36539</xdr:colOff>
      <xdr:row>26</xdr:row>
      <xdr:rowOff>25826</xdr:rowOff>
    </xdr:from>
    <xdr:to>
      <xdr:col>15</xdr:col>
      <xdr:colOff>641442</xdr:colOff>
      <xdr:row>40</xdr:row>
      <xdr:rowOff>165652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05D01F6-3603-54F0-5E3D-320129AB4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21536</xdr:colOff>
      <xdr:row>45</xdr:row>
      <xdr:rowOff>19879</xdr:rowOff>
    </xdr:from>
    <xdr:to>
      <xdr:col>15</xdr:col>
      <xdr:colOff>656404</xdr:colOff>
      <xdr:row>61</xdr:row>
      <xdr:rowOff>228314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BCBED003-4E86-EB83-DA63-5DA6E238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13889</xdr:colOff>
      <xdr:row>66</xdr:row>
      <xdr:rowOff>18369</xdr:rowOff>
    </xdr:from>
    <xdr:to>
      <xdr:col>15</xdr:col>
      <xdr:colOff>499437</xdr:colOff>
      <xdr:row>82</xdr:row>
      <xdr:rowOff>99888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7EDDA7C3-D2B7-3312-AE0F-AA41EA4D3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32</xdr:col>
      <xdr:colOff>0</xdr:colOff>
      <xdr:row>3</xdr:row>
      <xdr:rowOff>0</xdr:rowOff>
    </xdr:from>
    <xdr:to>
      <xdr:col>34</xdr:col>
      <xdr:colOff>442563</xdr:colOff>
      <xdr:row>5</xdr:row>
      <xdr:rowOff>1969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6CC56B5-E8A3-DDAE-5B4D-E80FF0E8E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1695" y="774915"/>
          <a:ext cx="2884407" cy="514274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34</xdr:col>
      <xdr:colOff>442563</xdr:colOff>
      <xdr:row>7</xdr:row>
      <xdr:rowOff>1968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6C11BF-5942-D8E4-698A-085E37BA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1695" y="1291525"/>
          <a:ext cx="2884407" cy="514274"/>
        </a:xfrm>
        <a:prstGeom prst="rect">
          <a:avLst/>
        </a:prstGeom>
      </xdr:spPr>
    </xdr:pic>
    <xdr:clientData/>
  </xdr:twoCellAnchor>
  <xdr:twoCellAnchor>
    <xdr:from>
      <xdr:col>32</xdr:col>
      <xdr:colOff>502087</xdr:colOff>
      <xdr:row>31</xdr:row>
      <xdr:rowOff>3269</xdr:rowOff>
    </xdr:from>
    <xdr:to>
      <xdr:col>36</xdr:col>
      <xdr:colOff>629206</xdr:colOff>
      <xdr:row>43</xdr:row>
      <xdr:rowOff>241660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31F929F-5985-30A0-C762-2D114E1CD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38</xdr:col>
      <xdr:colOff>0</xdr:colOff>
      <xdr:row>3</xdr:row>
      <xdr:rowOff>1</xdr:rowOff>
    </xdr:from>
    <xdr:to>
      <xdr:col>41</xdr:col>
      <xdr:colOff>357809</xdr:colOff>
      <xdr:row>5</xdr:row>
      <xdr:rowOff>20023</xdr:rowOff>
    </xdr:to>
    <xdr:pic>
      <xdr:nvPicPr>
        <xdr:cNvPr id="2" name="図 23">
          <a:extLst>
            <a:ext uri="{FF2B5EF4-FFF2-40B4-BE49-F238E27FC236}">
              <a16:creationId xmlns:a16="http://schemas.microsoft.com/office/drawing/2014/main" id="{52F12B81-1F07-B629-1F2D-188813007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3950" y="768404"/>
          <a:ext cx="3992549" cy="52294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40</xdr:col>
      <xdr:colOff>661061</xdr:colOff>
      <xdr:row>7</xdr:row>
      <xdr:rowOff>77880</xdr:rowOff>
    </xdr:to>
    <xdr:pic>
      <xdr:nvPicPr>
        <xdr:cNvPr id="5" name="図 26">
          <a:extLst>
            <a:ext uri="{FF2B5EF4-FFF2-40B4-BE49-F238E27FC236}">
              <a16:creationId xmlns:a16="http://schemas.microsoft.com/office/drawing/2014/main" id="{DD87F50A-97B8-8C9A-73C3-5E5C15829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3950" y="1280672"/>
          <a:ext cx="2924201" cy="58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4B6F-D608-4F11-8E0B-8F5D5A6724F5}">
  <dimension ref="A1:AR130"/>
  <sheetViews>
    <sheetView tabSelected="1" topLeftCell="I62" zoomScale="89" zoomScaleNormal="89" workbookViewId="0">
      <selection activeCell="A107" sqref="A107:F130"/>
    </sheetView>
  </sheetViews>
  <sheetFormatPr baseColWidth="10" defaultColWidth="10.7109375" defaultRowHeight="20"/>
  <cols>
    <col min="1" max="1" width="14.28515625" customWidth="1"/>
    <col min="2" max="2" width="16" customWidth="1"/>
    <col min="3" max="3" width="17" customWidth="1"/>
    <col min="4" max="4" width="17.7109375" customWidth="1"/>
    <col min="5" max="5" width="14.7109375" customWidth="1"/>
    <col min="6" max="6" width="14.42578125" bestFit="1" customWidth="1"/>
    <col min="10" max="10" width="21.28515625" bestFit="1" customWidth="1"/>
    <col min="18" max="18" width="37.42578125" customWidth="1"/>
    <col min="23" max="23" width="39.28515625" bestFit="1" customWidth="1"/>
    <col min="28" max="28" width="39.28515625" bestFit="1" customWidth="1"/>
    <col min="34" max="35" width="16.5703125" bestFit="1" customWidth="1"/>
    <col min="36" max="37" width="17.5703125" bestFit="1" customWidth="1"/>
    <col min="40" max="41" width="16.28515625" bestFit="1" customWidth="1"/>
    <col min="42" max="43" width="17.42578125" bestFit="1" customWidth="1"/>
  </cols>
  <sheetData>
    <row r="1" spans="1:44">
      <c r="A1" s="12" t="s">
        <v>0</v>
      </c>
      <c r="H1" t="s">
        <v>1</v>
      </c>
      <c r="R1" t="s">
        <v>2</v>
      </c>
    </row>
    <row r="2" spans="1:44">
      <c r="B2" t="s">
        <v>3</v>
      </c>
      <c r="D2" t="s">
        <v>4</v>
      </c>
      <c r="F2" t="s">
        <v>5</v>
      </c>
      <c r="H2" s="12">
        <v>2</v>
      </c>
      <c r="I2" t="s">
        <v>6</v>
      </c>
      <c r="R2" t="s">
        <v>7</v>
      </c>
      <c r="W2" t="s">
        <v>8</v>
      </c>
      <c r="AB2" t="s">
        <v>9</v>
      </c>
      <c r="AG2" t="s">
        <v>10</v>
      </c>
    </row>
    <row r="3" spans="1:44">
      <c r="A3" s="16" t="s">
        <v>11</v>
      </c>
      <c r="B3" s="7" t="s">
        <v>12</v>
      </c>
      <c r="C3" s="8" t="s">
        <v>13</v>
      </c>
      <c r="D3" s="9" t="s">
        <v>14</v>
      </c>
      <c r="E3" s="8" t="s">
        <v>15</v>
      </c>
      <c r="F3" s="8" t="s">
        <v>16</v>
      </c>
      <c r="R3" t="s">
        <v>17</v>
      </c>
      <c r="W3" t="s">
        <v>18</v>
      </c>
      <c r="AB3" t="s">
        <v>19</v>
      </c>
      <c r="AG3" t="s">
        <v>20</v>
      </c>
      <c r="AM3" t="s">
        <v>21</v>
      </c>
    </row>
    <row r="4" spans="1:44">
      <c r="A4" s="41">
        <v>1.04</v>
      </c>
      <c r="B4" s="38">
        <f>H2</f>
        <v>2</v>
      </c>
      <c r="C4" s="34">
        <v>1</v>
      </c>
      <c r="D4" s="35">
        <v>34</v>
      </c>
      <c r="E4" s="33">
        <v>-11.6</v>
      </c>
      <c r="F4" s="2">
        <f t="shared" ref="F4:F21" si="0">20*LOG(ABS(C4/B4),10)</f>
        <v>-6.0205999132796233</v>
      </c>
      <c r="J4" t="s">
        <v>22</v>
      </c>
      <c r="R4" t="s">
        <v>23</v>
      </c>
      <c r="AB4" t="s">
        <v>24</v>
      </c>
    </row>
    <row r="5" spans="1:44">
      <c r="A5" s="32">
        <v>2.0009999999999999</v>
      </c>
      <c r="B5" s="38">
        <f>H2</f>
        <v>2</v>
      </c>
      <c r="C5" s="34">
        <v>0.98</v>
      </c>
      <c r="D5" s="35">
        <v>34</v>
      </c>
      <c r="E5" s="33">
        <v>-19.600000000000001</v>
      </c>
      <c r="F5" s="2">
        <f t="shared" si="0"/>
        <v>-6.1960783994297266</v>
      </c>
      <c r="J5" t="s">
        <v>25</v>
      </c>
      <c r="R5" t="s">
        <v>26</v>
      </c>
      <c r="W5" s="18"/>
    </row>
    <row r="6" spans="1:44">
      <c r="A6" s="32">
        <v>3.0009999999999999</v>
      </c>
      <c r="B6" s="38">
        <f>H2</f>
        <v>2</v>
      </c>
      <c r="C6" s="34">
        <v>0.91</v>
      </c>
      <c r="D6" s="35">
        <v>33.4</v>
      </c>
      <c r="E6" s="33">
        <v>-28.9</v>
      </c>
      <c r="F6" s="2">
        <f t="shared" si="0"/>
        <v>-6.8397720668577513</v>
      </c>
      <c r="R6" t="s">
        <v>27</v>
      </c>
      <c r="AQ6" t="s">
        <v>28</v>
      </c>
      <c r="AR6">
        <f>2*PI()*10^3</f>
        <v>6283.1853071795858</v>
      </c>
    </row>
    <row r="7" spans="1:44">
      <c r="A7" s="32">
        <v>4.0419999999999998</v>
      </c>
      <c r="B7" s="38">
        <f>H2</f>
        <v>2</v>
      </c>
      <c r="C7" s="34">
        <v>0.84</v>
      </c>
      <c r="D7" s="35">
        <v>32.700000000000003</v>
      </c>
      <c r="E7" s="33">
        <v>-37</v>
      </c>
      <c r="F7" s="2">
        <f t="shared" si="0"/>
        <v>-7.5350141920419897</v>
      </c>
      <c r="R7" t="s">
        <v>29</v>
      </c>
      <c r="AQ7" t="s">
        <v>30</v>
      </c>
      <c r="AR7">
        <f>5*10^3</f>
        <v>5000</v>
      </c>
    </row>
    <row r="8" spans="1:44">
      <c r="A8" s="32">
        <v>5.008</v>
      </c>
      <c r="B8" s="38">
        <f>H2</f>
        <v>2</v>
      </c>
      <c r="C8" s="34">
        <v>0.78</v>
      </c>
      <c r="D8" s="35">
        <v>32</v>
      </c>
      <c r="E8" s="33">
        <v>-43.2</v>
      </c>
      <c r="F8" s="2">
        <f t="shared" si="0"/>
        <v>-8.1787078594700144</v>
      </c>
      <c r="R8" t="s">
        <v>31</v>
      </c>
      <c r="AQ8" t="s">
        <v>32</v>
      </c>
      <c r="AR8">
        <f>9003*10^-12</f>
        <v>9.0029999999999996E-9</v>
      </c>
    </row>
    <row r="9" spans="1:44">
      <c r="A9" s="32">
        <v>6.0110000000000001</v>
      </c>
      <c r="B9" s="38">
        <f>H2</f>
        <v>2</v>
      </c>
      <c r="C9" s="34">
        <v>0.71</v>
      </c>
      <c r="D9" s="35">
        <v>31.3</v>
      </c>
      <c r="E9" s="33">
        <v>-48.8</v>
      </c>
      <c r="F9" s="2">
        <f t="shared" si="0"/>
        <v>-8.9954329388981176</v>
      </c>
      <c r="AG9" t="s">
        <v>33</v>
      </c>
      <c r="AM9" t="s">
        <v>34</v>
      </c>
      <c r="AQ9" t="s">
        <v>35</v>
      </c>
      <c r="AR9">
        <f>225*10^-3</f>
        <v>0.22500000000000001</v>
      </c>
    </row>
    <row r="10" spans="1:44">
      <c r="A10" s="32">
        <v>7.0149999999999997</v>
      </c>
      <c r="B10" s="38">
        <f>H2</f>
        <v>2</v>
      </c>
      <c r="C10" s="34">
        <v>0.67</v>
      </c>
      <c r="D10" s="35">
        <v>30.5</v>
      </c>
      <c r="E10" s="33">
        <v>-53.3</v>
      </c>
      <c r="F10" s="2">
        <f t="shared" si="0"/>
        <v>-9.4991038592630943</v>
      </c>
      <c r="AG10" t="s">
        <v>36</v>
      </c>
      <c r="AM10" t="s">
        <v>37</v>
      </c>
    </row>
    <row r="11" spans="1:44">
      <c r="A11" s="32">
        <v>8.0020000000000007</v>
      </c>
      <c r="B11" s="38">
        <f>H2</f>
        <v>2</v>
      </c>
      <c r="C11" s="34">
        <v>0.6</v>
      </c>
      <c r="D11" s="35">
        <v>29.7</v>
      </c>
      <c r="E11" s="33">
        <v>-57.6</v>
      </c>
      <c r="F11" s="2">
        <f t="shared" si="0"/>
        <v>-10.457574905606752</v>
      </c>
      <c r="R11" t="s">
        <v>38</v>
      </c>
      <c r="AG11" s="9" t="s">
        <v>11</v>
      </c>
      <c r="AH11" s="7" t="s">
        <v>39</v>
      </c>
      <c r="AI11" s="8" t="s">
        <v>40</v>
      </c>
      <c r="AJ11" s="7" t="s">
        <v>41</v>
      </c>
      <c r="AK11" s="8" t="s">
        <v>42</v>
      </c>
      <c r="AM11" s="9" t="s">
        <v>11</v>
      </c>
      <c r="AN11" s="7" t="s">
        <v>39</v>
      </c>
      <c r="AO11" s="8" t="s">
        <v>40</v>
      </c>
      <c r="AP11" s="7" t="s">
        <v>41</v>
      </c>
      <c r="AQ11" s="8" t="s">
        <v>42</v>
      </c>
    </row>
    <row r="12" spans="1:44">
      <c r="A12" s="32">
        <v>9.0030000000000001</v>
      </c>
      <c r="B12" s="38">
        <f>H2</f>
        <v>2</v>
      </c>
      <c r="C12" s="34">
        <v>0.56999999999999995</v>
      </c>
      <c r="D12" s="35">
        <v>29</v>
      </c>
      <c r="E12" s="33">
        <v>-60.9</v>
      </c>
      <c r="F12" s="2">
        <f t="shared" si="0"/>
        <v>-10.903102799829796</v>
      </c>
      <c r="R12" s="16"/>
      <c r="S12" s="6"/>
      <c r="T12" s="7" t="s">
        <v>43</v>
      </c>
      <c r="U12" s="8"/>
      <c r="AB12" s="20"/>
      <c r="AC12" s="21"/>
      <c r="AD12" s="21" t="s">
        <v>44</v>
      </c>
      <c r="AE12" s="22"/>
      <c r="AG12" s="32">
        <f t="shared" ref="AG12:AG29" si="1">A4</f>
        <v>1.04</v>
      </c>
      <c r="AH12">
        <f t="shared" ref="AH12:AH29" si="2">E4</f>
        <v>-11.6</v>
      </c>
      <c r="AI12" s="2">
        <f t="shared" ref="AI12:AI29" si="3">(ATAN(-(PI()*AG12*12732*5*10^(-6))))*180/PI()</f>
        <v>-11.74962878219527</v>
      </c>
      <c r="AJ12">
        <f t="shared" ref="AJ12:AJ29" si="4">F4</f>
        <v>-6.0205999132796233</v>
      </c>
      <c r="AK12" s="2">
        <f t="shared" ref="AK12:AK29" si="5">20*LOG((1/((4+((2*PI()*AG12*12732*5*10^(-6))^2))^(1/2))),10)</f>
        <v>-6.2045309401766149</v>
      </c>
      <c r="AM12" s="32">
        <f t="shared" ref="AM12:AM29" si="6">A30</f>
        <v>1.05</v>
      </c>
      <c r="AN12">
        <f t="shared" ref="AN12:AN29" si="7">E30</f>
        <v>-18.100000000000001</v>
      </c>
      <c r="AO12" s="2">
        <f>(ATAN(-(AR6)*(AR9+AR8*AR7)/(AR7*(2-((AR6*AM12)^2)*AR9*AR8)))*180/PI())</f>
        <v>-8.4142252221862783</v>
      </c>
      <c r="AP12">
        <f t="shared" ref="AP12:AP29" si="8">F30</f>
        <v>-5.9341724376267715</v>
      </c>
      <c r="AQ12" s="2">
        <f>10*LOG(ABS((AR7^2)/(((AR6*AM12)^4)*((AR7*AR9*AR8)^2)+AR6*AM12*((AR9-(AR7^2)*AR8)^2)+(4*(AR7^2)))),10)</f>
        <v>-6.0290316855709039</v>
      </c>
    </row>
    <row r="13" spans="1:44">
      <c r="A13" s="32">
        <v>10.007</v>
      </c>
      <c r="B13" s="38">
        <f>H2</f>
        <v>2</v>
      </c>
      <c r="C13" s="34">
        <v>0.52</v>
      </c>
      <c r="D13" s="35">
        <v>28.3</v>
      </c>
      <c r="E13" s="33">
        <v>-63.7</v>
      </c>
      <c r="F13" s="2">
        <f t="shared" si="0"/>
        <v>-11.700533040583638</v>
      </c>
      <c r="R13" s="11"/>
      <c r="S13" t="s">
        <v>45</v>
      </c>
      <c r="T13" t="s">
        <v>46</v>
      </c>
      <c r="U13" s="2" t="s">
        <v>47</v>
      </c>
      <c r="W13" s="16"/>
      <c r="X13" s="6"/>
      <c r="Y13" s="7" t="s">
        <v>43</v>
      </c>
      <c r="Z13" s="8"/>
      <c r="AB13" s="23"/>
      <c r="AC13" s="19" t="s">
        <v>48</v>
      </c>
      <c r="AD13" s="19" t="s">
        <v>49</v>
      </c>
      <c r="AE13" s="24" t="s">
        <v>50</v>
      </c>
      <c r="AG13" s="32">
        <f t="shared" si="1"/>
        <v>2.0009999999999999</v>
      </c>
      <c r="AH13">
        <f t="shared" si="2"/>
        <v>-19.600000000000001</v>
      </c>
      <c r="AI13" s="2">
        <f t="shared" si="3"/>
        <v>-21.81067353773847</v>
      </c>
      <c r="AJ13">
        <f t="shared" si="4"/>
        <v>-6.1960783994297266</v>
      </c>
      <c r="AK13" s="2">
        <f t="shared" si="5"/>
        <v>-6.6657416995986036</v>
      </c>
      <c r="AM13" s="32">
        <f t="shared" si="6"/>
        <v>2.0489999999999999</v>
      </c>
      <c r="AN13">
        <f t="shared" si="7"/>
        <v>-34.5</v>
      </c>
      <c r="AO13" s="2" t="s">
        <v>51</v>
      </c>
      <c r="AP13">
        <f t="shared" si="8"/>
        <v>-6.0205999132796233</v>
      </c>
      <c r="AQ13" s="2" t="s">
        <v>52</v>
      </c>
    </row>
    <row r="14" spans="1:44">
      <c r="A14" s="32">
        <v>15.004</v>
      </c>
      <c r="B14" s="38">
        <f>H2</f>
        <v>2</v>
      </c>
      <c r="C14" s="34">
        <v>0.39</v>
      </c>
      <c r="D14" s="35">
        <v>25.7</v>
      </c>
      <c r="E14" s="33">
        <v>-74</v>
      </c>
      <c r="F14" s="2">
        <f t="shared" si="0"/>
        <v>-14.199307772749638</v>
      </c>
      <c r="G14" t="s">
        <v>53</v>
      </c>
      <c r="R14" s="1" t="s">
        <v>54</v>
      </c>
      <c r="S14" s="13">
        <f>(F5-F4)/(LOG(A5,2)-LOG(A4,2))</f>
        <v>-0.18586112757751302</v>
      </c>
      <c r="T14" s="14">
        <f>(F7-F5)/(LOG(A7,2)-LOG(A5,2))</f>
        <v>-1.3199962820522795</v>
      </c>
      <c r="U14" s="15">
        <f>(F11-F7)/(LOG(A11,2)-LOG(A7,2))</f>
        <v>-2.9661894841684688</v>
      </c>
      <c r="V14" t="s">
        <v>55</v>
      </c>
      <c r="W14" s="11"/>
      <c r="X14" t="s">
        <v>45</v>
      </c>
      <c r="Y14" t="s">
        <v>46</v>
      </c>
      <c r="Z14" s="2" t="s">
        <v>47</v>
      </c>
      <c r="AA14" t="s">
        <v>55</v>
      </c>
      <c r="AB14" s="25" t="s">
        <v>56</v>
      </c>
      <c r="AC14" s="26">
        <f>(E5-E4)/(A5-A4)</f>
        <v>-8.3246618106139465</v>
      </c>
      <c r="AD14" s="27">
        <f>(E7-E5)/(A7-A5)</f>
        <v>-8.5252327290543839</v>
      </c>
      <c r="AE14" s="28">
        <f>(E11-E7)/(A11-A7)</f>
        <v>-5.2020202020202015</v>
      </c>
      <c r="AG14" s="32">
        <f t="shared" si="1"/>
        <v>3.0009999999999999</v>
      </c>
      <c r="AH14">
        <f t="shared" si="2"/>
        <v>-28.9</v>
      </c>
      <c r="AI14" s="2">
        <f t="shared" si="3"/>
        <v>-30.971396429684962</v>
      </c>
      <c r="AJ14">
        <f t="shared" si="4"/>
        <v>-6.8397720668577513</v>
      </c>
      <c r="AK14" s="2">
        <f t="shared" si="5"/>
        <v>-7.3566840150459312</v>
      </c>
      <c r="AM14" s="32">
        <f t="shared" si="6"/>
        <v>3.048</v>
      </c>
      <c r="AN14">
        <f t="shared" si="7"/>
        <v>-54.3</v>
      </c>
      <c r="AO14" s="2"/>
      <c r="AP14">
        <f t="shared" si="8"/>
        <v>-6.2851652279547263</v>
      </c>
      <c r="AQ14" s="2"/>
    </row>
    <row r="15" spans="1:44">
      <c r="A15" s="32">
        <v>20.018999999999998</v>
      </c>
      <c r="B15" s="38">
        <f>H2</f>
        <v>2</v>
      </c>
      <c r="C15" s="34">
        <v>0.28000000000000003</v>
      </c>
      <c r="D15" s="35">
        <v>23.3</v>
      </c>
      <c r="E15" s="33">
        <v>-80.900000000000006</v>
      </c>
      <c r="F15" s="2">
        <f t="shared" si="0"/>
        <v>-17.07743928643524</v>
      </c>
      <c r="R15" s="1" t="s">
        <v>57</v>
      </c>
      <c r="S15" s="1">
        <f>(F31-F30)/(LOG(A31,2)-LOG(A30,2))</f>
        <v>-8.9605732149827866E-2</v>
      </c>
      <c r="T15">
        <f>(F33-F31)/(LOG(A33,2)-LOG(A31,2))</f>
        <v>-1.1505227949910666</v>
      </c>
      <c r="U15" s="2">
        <f>(F37-F33)/(LOG(A37,2)-LOG(A33,2))</f>
        <v>-7.061995600278606</v>
      </c>
      <c r="W15" s="11" t="s">
        <v>58</v>
      </c>
      <c r="X15" s="13">
        <f>F56-F55</f>
        <v>0</v>
      </c>
      <c r="Y15" s="14">
        <f>F58-F56</f>
        <v>-0.819172153578128</v>
      </c>
      <c r="Z15" s="15">
        <f>F62-F58</f>
        <v>-10.553552563242125</v>
      </c>
      <c r="AB15" s="25" t="s">
        <v>59</v>
      </c>
      <c r="AC15" s="25">
        <f>(E31-E30)/(A31-A30)</f>
        <v>-16.416416416416418</v>
      </c>
      <c r="AD15" s="19">
        <f>(E33-E31)/(A33-A31)</f>
        <v>-19.835981547924142</v>
      </c>
      <c r="AE15" s="24">
        <f>(E37-E33)/(A37-A33)</f>
        <v>-14.174781523096126</v>
      </c>
      <c r="AG15" s="32">
        <f t="shared" si="1"/>
        <v>4.0419999999999998</v>
      </c>
      <c r="AH15">
        <f t="shared" si="2"/>
        <v>-37</v>
      </c>
      <c r="AI15" s="2">
        <f t="shared" si="3"/>
        <v>-38.951204305248375</v>
      </c>
      <c r="AJ15">
        <f t="shared" si="4"/>
        <v>-7.5350141920419897</v>
      </c>
      <c r="AK15" s="2">
        <f t="shared" si="5"/>
        <v>-8.2045630220927208</v>
      </c>
      <c r="AM15" s="32">
        <f t="shared" si="6"/>
        <v>4</v>
      </c>
      <c r="AN15">
        <f t="shared" si="7"/>
        <v>-73.2</v>
      </c>
      <c r="AO15" s="2"/>
      <c r="AP15">
        <f t="shared" si="8"/>
        <v>-7.1309464702762506</v>
      </c>
      <c r="AQ15" s="2"/>
    </row>
    <row r="16" spans="1:44">
      <c r="A16" s="32">
        <v>25.085000000000001</v>
      </c>
      <c r="B16" s="38">
        <f>H2</f>
        <v>2</v>
      </c>
      <c r="C16" s="34">
        <v>0.24</v>
      </c>
      <c r="D16" s="35">
        <v>21.4</v>
      </c>
      <c r="E16" s="33">
        <v>-85.9</v>
      </c>
      <c r="F16" s="2">
        <f t="shared" si="0"/>
        <v>-18.416375079047501</v>
      </c>
      <c r="R16" s="3" t="s">
        <v>58</v>
      </c>
      <c r="S16" s="3">
        <f>(F56-F55)/(LOG(A56,2)-LOG(A55,2))</f>
        <v>0</v>
      </c>
      <c r="T16" s="4">
        <f>(F58-F56)/(LOG(A58,2)-LOG(A56,2))</f>
        <v>-0.84397625837785795</v>
      </c>
      <c r="U16" s="5">
        <f>(F62-F58)/(LOG(A62,2)-LOG(A58,2))</f>
        <v>-10.620181094775036</v>
      </c>
      <c r="W16" s="9" t="s">
        <v>60</v>
      </c>
      <c r="X16" s="3">
        <f>F82-F81</f>
        <v>-0.36966811388026155</v>
      </c>
      <c r="Y16" s="4">
        <f>F84-F82</f>
        <v>0.4596781384137909</v>
      </c>
      <c r="Z16" s="5">
        <f>F88-F84</f>
        <v>-15.653035032206402</v>
      </c>
      <c r="AB16" s="29" t="s">
        <v>61</v>
      </c>
      <c r="AC16" s="29">
        <f>(E56-E55)/(A56-A55)</f>
        <v>-23.18702290076336</v>
      </c>
      <c r="AD16" s="30">
        <f>(E58-E56)/(A58-A56)</f>
        <v>-28.911392405063289</v>
      </c>
      <c r="AE16" s="31">
        <f>(E62-E58)/(A62-A58)</f>
        <v>-22.186093046523258</v>
      </c>
      <c r="AG16" s="32">
        <f t="shared" si="1"/>
        <v>5.008</v>
      </c>
      <c r="AH16">
        <f t="shared" si="2"/>
        <v>-43.2</v>
      </c>
      <c r="AI16" s="2">
        <f t="shared" si="3"/>
        <v>-45.044910204625026</v>
      </c>
      <c r="AJ16">
        <f t="shared" si="4"/>
        <v>-8.1787078594700144</v>
      </c>
      <c r="AK16" s="2">
        <f t="shared" si="5"/>
        <v>-9.0377134782684347</v>
      </c>
      <c r="AM16" s="32">
        <f t="shared" si="6"/>
        <v>5.0599999999999996</v>
      </c>
      <c r="AN16">
        <f t="shared" si="7"/>
        <v>-92.9</v>
      </c>
      <c r="AO16" s="2"/>
      <c r="AP16">
        <f t="shared" si="8"/>
        <v>-8.7541427108705054</v>
      </c>
      <c r="AQ16" s="2"/>
    </row>
    <row r="17" spans="1:43">
      <c r="A17" s="32">
        <v>30.027000000000001</v>
      </c>
      <c r="B17" s="38">
        <f>H2</f>
        <v>2</v>
      </c>
      <c r="C17" s="34">
        <v>0.2</v>
      </c>
      <c r="D17" s="35">
        <v>20.100000000000001</v>
      </c>
      <c r="E17" s="33">
        <v>-88.7</v>
      </c>
      <c r="F17" s="2">
        <f t="shared" si="0"/>
        <v>-19.999999999999996</v>
      </c>
      <c r="AG17" s="32">
        <f t="shared" si="1"/>
        <v>6.0110000000000001</v>
      </c>
      <c r="AH17">
        <f t="shared" si="2"/>
        <v>-48.8</v>
      </c>
      <c r="AI17" s="2">
        <f t="shared" si="3"/>
        <v>-50.245158292705511</v>
      </c>
      <c r="AJ17">
        <f t="shared" si="4"/>
        <v>-8.9954329388981176</v>
      </c>
      <c r="AK17" s="2">
        <f t="shared" si="5"/>
        <v>-9.9037350194036904</v>
      </c>
      <c r="AM17" s="32">
        <f t="shared" si="6"/>
        <v>6.024</v>
      </c>
      <c r="AN17">
        <f t="shared" si="7"/>
        <v>-107.7</v>
      </c>
      <c r="AO17" s="2"/>
      <c r="AP17">
        <f t="shared" si="8"/>
        <v>-10.172766123314545</v>
      </c>
      <c r="AQ17" s="2"/>
    </row>
    <row r="18" spans="1:43">
      <c r="A18" s="32">
        <v>35.039000000000001</v>
      </c>
      <c r="B18" s="38">
        <f>H2</f>
        <v>2</v>
      </c>
      <c r="C18" s="34">
        <v>0.17</v>
      </c>
      <c r="D18" s="35">
        <v>18.7</v>
      </c>
      <c r="E18" s="33">
        <v>-92.6</v>
      </c>
      <c r="F18" s="2">
        <f t="shared" si="0"/>
        <v>-21.411621485714143</v>
      </c>
      <c r="AG18" s="32">
        <f t="shared" si="1"/>
        <v>7.0149999999999997</v>
      </c>
      <c r="AH18">
        <f t="shared" si="2"/>
        <v>-53.3</v>
      </c>
      <c r="AI18" s="2">
        <f t="shared" si="3"/>
        <v>-54.5194688620088</v>
      </c>
      <c r="AJ18">
        <f t="shared" si="4"/>
        <v>-9.4991038592630943</v>
      </c>
      <c r="AK18" s="2">
        <f t="shared" si="5"/>
        <v>-10.74565841971455</v>
      </c>
      <c r="AM18" s="32">
        <f t="shared" si="6"/>
        <v>7.0659999999999998</v>
      </c>
      <c r="AN18">
        <f t="shared" si="7"/>
        <v>-120.6</v>
      </c>
      <c r="AO18" s="2"/>
      <c r="AP18">
        <f t="shared" si="8"/>
        <v>-12.39577516576788</v>
      </c>
      <c r="AQ18" s="2"/>
    </row>
    <row r="19" spans="1:43">
      <c r="A19" s="32">
        <v>40.087000000000003</v>
      </c>
      <c r="B19" s="38">
        <f>H2</f>
        <v>2</v>
      </c>
      <c r="C19" s="34">
        <v>0.15</v>
      </c>
      <c r="D19" s="35">
        <v>17.600000000000001</v>
      </c>
      <c r="E19" s="33">
        <v>-95.8</v>
      </c>
      <c r="F19" s="2">
        <f t="shared" si="0"/>
        <v>-22.498774732165998</v>
      </c>
      <c r="R19" t="s">
        <v>62</v>
      </c>
      <c r="AG19" s="32">
        <f t="shared" si="1"/>
        <v>8.0020000000000007</v>
      </c>
      <c r="AH19">
        <f t="shared" si="2"/>
        <v>-57.6</v>
      </c>
      <c r="AI19" s="2">
        <f t="shared" si="3"/>
        <v>-58.000253651385293</v>
      </c>
      <c r="AJ19">
        <f t="shared" si="4"/>
        <v>-10.457574905606752</v>
      </c>
      <c r="AK19" s="2">
        <f t="shared" si="5"/>
        <v>-11.536467295606247</v>
      </c>
      <c r="AM19" s="32">
        <f t="shared" si="6"/>
        <v>8.0050000000000008</v>
      </c>
      <c r="AN19">
        <f t="shared" si="7"/>
        <v>-129.97</v>
      </c>
      <c r="AO19" s="2"/>
      <c r="AP19">
        <f t="shared" si="8"/>
        <v>-14.199307772749638</v>
      </c>
      <c r="AQ19" s="2"/>
    </row>
    <row r="20" spans="1:43">
      <c r="A20" s="32">
        <v>45.05</v>
      </c>
      <c r="B20" s="38">
        <f>H2</f>
        <v>2</v>
      </c>
      <c r="C20" s="34">
        <v>0.14000000000000001</v>
      </c>
      <c r="D20" s="35">
        <v>16.5</v>
      </c>
      <c r="E20" s="33">
        <v>-98.2</v>
      </c>
      <c r="F20" s="2">
        <f t="shared" si="0"/>
        <v>-23.098039199714862</v>
      </c>
      <c r="R20" s="16"/>
      <c r="S20" s="6"/>
      <c r="T20" s="7" t="s">
        <v>43</v>
      </c>
      <c r="U20" s="8"/>
      <c r="AB20" s="16"/>
      <c r="AC20" s="6"/>
      <c r="AD20" s="7" t="s">
        <v>43</v>
      </c>
      <c r="AE20" s="8"/>
      <c r="AG20" s="32">
        <f t="shared" si="1"/>
        <v>9.0030000000000001</v>
      </c>
      <c r="AH20">
        <f t="shared" si="2"/>
        <v>-60.9</v>
      </c>
      <c r="AI20" s="2">
        <f t="shared" si="3"/>
        <v>-60.952746390939666</v>
      </c>
      <c r="AJ20">
        <f t="shared" si="4"/>
        <v>-10.903102799829796</v>
      </c>
      <c r="AK20" s="2">
        <f t="shared" si="5"/>
        <v>-12.29626454927342</v>
      </c>
      <c r="AM20" s="32">
        <f t="shared" si="6"/>
        <v>9.0289999999999999</v>
      </c>
      <c r="AN20">
        <f t="shared" si="7"/>
        <v>-138</v>
      </c>
      <c r="AO20" s="2"/>
      <c r="AP20">
        <f t="shared" si="8"/>
        <v>-15.917600346881503</v>
      </c>
      <c r="AQ20" s="2"/>
    </row>
    <row r="21" spans="1:43">
      <c r="A21" s="36">
        <v>50.018000000000001</v>
      </c>
      <c r="B21" s="39">
        <f>H2</f>
        <v>2</v>
      </c>
      <c r="C21" s="43">
        <v>0.12</v>
      </c>
      <c r="D21" s="40">
        <v>15.6</v>
      </c>
      <c r="E21" s="42">
        <v>-100.6</v>
      </c>
      <c r="F21" s="5">
        <f t="shared" si="0"/>
        <v>-24.436974992327126</v>
      </c>
      <c r="R21" s="11"/>
      <c r="S21" s="4" t="s">
        <v>63</v>
      </c>
      <c r="T21" s="4" t="s">
        <v>64</v>
      </c>
      <c r="U21" s="5" t="s">
        <v>65</v>
      </c>
      <c r="W21" s="16"/>
      <c r="X21" s="6"/>
      <c r="Y21" s="7" t="s">
        <v>43</v>
      </c>
      <c r="Z21" s="8"/>
      <c r="AB21" s="11"/>
      <c r="AC21" s="4" t="s">
        <v>63</v>
      </c>
      <c r="AD21" s="4" t="s">
        <v>64</v>
      </c>
      <c r="AE21" s="5" t="s">
        <v>65</v>
      </c>
      <c r="AG21" s="32">
        <f t="shared" si="1"/>
        <v>10.007</v>
      </c>
      <c r="AH21">
        <f t="shared" si="2"/>
        <v>-63.7</v>
      </c>
      <c r="AI21" s="2">
        <f t="shared" si="3"/>
        <v>-63.450271137802595</v>
      </c>
      <c r="AJ21">
        <f t="shared" si="4"/>
        <v>-11.700533040583638</v>
      </c>
      <c r="AK21" s="2">
        <f t="shared" si="5"/>
        <v>-13.014947155502608</v>
      </c>
      <c r="AM21" s="32">
        <f t="shared" si="6"/>
        <v>10.029999999999999</v>
      </c>
      <c r="AN21">
        <f t="shared" si="7"/>
        <v>-143.9</v>
      </c>
      <c r="AO21" s="2"/>
      <c r="AP21">
        <f t="shared" si="8"/>
        <v>-17.721132953863265</v>
      </c>
      <c r="AQ21" s="2"/>
    </row>
    <row r="22" spans="1:43">
      <c r="R22" s="10" t="s">
        <v>54</v>
      </c>
      <c r="S22" s="13">
        <f>(F13-F8)/(LOG(A13,2)-LOG(A8,2))</f>
        <v>-3.5263986879985003</v>
      </c>
      <c r="T22" s="14">
        <f>(F15-F13)/(LOG(A15,2)-LOG(A13,2))</f>
        <v>-5.374969233512167</v>
      </c>
      <c r="U22" s="15">
        <f>(F19-F15)/(LOG(A19,2)-LOG(A15,2))</f>
        <v>-5.4117861080774619</v>
      </c>
      <c r="V22" t="s">
        <v>66</v>
      </c>
      <c r="W22" s="11"/>
      <c r="X22" s="4" t="s">
        <v>63</v>
      </c>
      <c r="Y22" s="4" t="s">
        <v>64</v>
      </c>
      <c r="Z22" s="5" t="s">
        <v>65</v>
      </c>
      <c r="AA22" t="s">
        <v>55</v>
      </c>
      <c r="AB22" s="10" t="s">
        <v>54</v>
      </c>
      <c r="AC22" s="13">
        <f>(E8-E4)/(A8-A4)</f>
        <v>-7.963709677419355</v>
      </c>
      <c r="AD22" s="14">
        <f>(E13-E8)/(A13-A8)</f>
        <v>-4.1008201640328066</v>
      </c>
      <c r="AE22" s="15">
        <f>(E19-E15)/(A19-A15)</f>
        <v>-0.74247558301773908</v>
      </c>
      <c r="AG22" s="32">
        <f t="shared" si="1"/>
        <v>15.004</v>
      </c>
      <c r="AH22">
        <f t="shared" si="2"/>
        <v>-74</v>
      </c>
      <c r="AI22" s="2">
        <f t="shared" si="3"/>
        <v>-71.569099984637319</v>
      </c>
      <c r="AJ22">
        <f t="shared" si="4"/>
        <v>-14.199307772749638</v>
      </c>
      <c r="AK22" s="2">
        <f t="shared" si="5"/>
        <v>-16.022441495942267</v>
      </c>
      <c r="AM22" s="32">
        <f t="shared" si="6"/>
        <v>15</v>
      </c>
      <c r="AN22">
        <f t="shared" si="7"/>
        <v>-163.6</v>
      </c>
      <c r="AO22" s="2"/>
      <c r="AP22">
        <f t="shared" si="8"/>
        <v>-24.436974992327126</v>
      </c>
      <c r="AQ22" s="2"/>
    </row>
    <row r="23" spans="1:43">
      <c r="R23" s="10" t="s">
        <v>57</v>
      </c>
      <c r="S23" s="1">
        <f>(F39-F34)/(LOG(A39,2)-LOG(A34,2))</f>
        <v>-9.0840627742090003</v>
      </c>
      <c r="T23">
        <f>(F41-F39)/(LOG(A41,2)-LOG(A39,2))</f>
        <v>-10.228842082418414</v>
      </c>
      <c r="U23" s="2">
        <f>(F45-F41)/(LOG(A45,2)-LOG(A41,2))</f>
        <v>-14.595649168781735</v>
      </c>
      <c r="W23" s="11" t="s">
        <v>58</v>
      </c>
      <c r="X23" s="13">
        <f>F64-F59</f>
        <v>-14.343896488844356</v>
      </c>
      <c r="Y23" s="14">
        <f>F66-F39</f>
        <v>-24.21706730629786</v>
      </c>
      <c r="Z23" s="15">
        <f>F70-F66</f>
        <v>-18.061799739838868</v>
      </c>
      <c r="AB23" s="10" t="s">
        <v>57</v>
      </c>
      <c r="AC23" s="1">
        <f>(E34-E30)/(A34-A30)</f>
        <v>-18.65336658354115</v>
      </c>
      <c r="AD23">
        <f>(E39-E34)/(A39-A34)</f>
        <v>-10.261569416498995</v>
      </c>
      <c r="AE23" s="2">
        <f>(E45-E41)/(A45-A41)</f>
        <v>-1.2621456476009225</v>
      </c>
      <c r="AG23" s="32">
        <f t="shared" si="1"/>
        <v>20.018999999999998</v>
      </c>
      <c r="AH23">
        <f t="shared" si="2"/>
        <v>-80.900000000000006</v>
      </c>
      <c r="AI23" s="2">
        <f t="shared" si="3"/>
        <v>-75.976134012269242</v>
      </c>
      <c r="AJ23">
        <f t="shared" si="4"/>
        <v>-17.07743928643524</v>
      </c>
      <c r="AK23" s="2">
        <f t="shared" si="5"/>
        <v>-18.332598148460825</v>
      </c>
      <c r="AM23" s="32">
        <f t="shared" si="6"/>
        <v>20.071999999999999</v>
      </c>
      <c r="AN23">
        <f t="shared" si="7"/>
        <v>-175.2</v>
      </c>
      <c r="AO23" s="2"/>
      <c r="AP23">
        <f t="shared" si="8"/>
        <v>-27.95880017344075</v>
      </c>
      <c r="AQ23" s="2"/>
    </row>
    <row r="24" spans="1:43">
      <c r="R24" s="11" t="s">
        <v>58</v>
      </c>
      <c r="S24" s="3">
        <f>(F64-F59)/(LOG(A64,2)-LOG(A59,2))</f>
        <v>-14.584268139161102</v>
      </c>
      <c r="T24" s="4">
        <f>(F66-F64)/(LOG(A66,2)-LOG(A64,2))</f>
        <v>-18.78067149603865</v>
      </c>
      <c r="U24" s="5">
        <f>(F70-F66)/(LOG(A70,2)-LOG(A66,2))</f>
        <v>-18.142815334550541</v>
      </c>
      <c r="W24" s="9" t="s">
        <v>60</v>
      </c>
      <c r="X24" s="3">
        <f>F90-F85</f>
        <v>-21.094775791599297</v>
      </c>
      <c r="Y24" s="4">
        <f>F92-F90</f>
        <v>-18.459696314177652</v>
      </c>
      <c r="Z24" s="5">
        <f>F96-F92</f>
        <v>-19.999999999999993</v>
      </c>
      <c r="AB24" s="11" t="s">
        <v>58</v>
      </c>
      <c r="AC24" s="3">
        <f>(E59-E55)/(A59-A55)</f>
        <v>-27.912142152023687</v>
      </c>
      <c r="AD24" s="4">
        <f>(E64-E59)/(A64-A59)</f>
        <v>-15.28198908429351</v>
      </c>
      <c r="AE24" s="5">
        <f>(E70-E66)/(A70-A66)</f>
        <v>-1.2288093088574568</v>
      </c>
      <c r="AG24" s="32">
        <f t="shared" si="1"/>
        <v>25.085000000000001</v>
      </c>
      <c r="AH24">
        <f t="shared" si="2"/>
        <v>-85.9</v>
      </c>
      <c r="AI24" s="2">
        <f t="shared" si="3"/>
        <v>-78.727066917454849</v>
      </c>
      <c r="AJ24">
        <f t="shared" si="4"/>
        <v>-18.416375079047501</v>
      </c>
      <c r="AK24" s="2">
        <f t="shared" si="5"/>
        <v>-20.198425634338047</v>
      </c>
      <c r="AM24" s="32">
        <f t="shared" si="6"/>
        <v>25.015999999999998</v>
      </c>
      <c r="AN24">
        <f t="shared" si="7"/>
        <v>-181.6</v>
      </c>
      <c r="AO24" s="2"/>
      <c r="AP24">
        <f t="shared" si="8"/>
        <v>-33.979400086720368</v>
      </c>
      <c r="AQ24" s="2"/>
    </row>
    <row r="25" spans="1:43">
      <c r="AG25" s="32">
        <f t="shared" si="1"/>
        <v>30.027000000000001</v>
      </c>
      <c r="AH25">
        <f t="shared" si="2"/>
        <v>-88.7</v>
      </c>
      <c r="AI25" s="2">
        <f t="shared" si="3"/>
        <v>-80.545744229654417</v>
      </c>
      <c r="AJ25">
        <f t="shared" si="4"/>
        <v>-19.999999999999996</v>
      </c>
      <c r="AK25" s="2">
        <f t="shared" si="5"/>
        <v>-21.709957445260493</v>
      </c>
      <c r="AM25" s="32">
        <f t="shared" si="6"/>
        <v>30.077999999999999</v>
      </c>
      <c r="AN25">
        <f t="shared" si="7"/>
        <v>-188.6</v>
      </c>
      <c r="AO25" s="2"/>
      <c r="AP25">
        <f t="shared" si="8"/>
        <v>-36.478174818886373</v>
      </c>
      <c r="AQ25" s="2"/>
    </row>
    <row r="26" spans="1:43">
      <c r="J26" t="s">
        <v>67</v>
      </c>
      <c r="AG26" s="32">
        <f t="shared" si="1"/>
        <v>35.039000000000001</v>
      </c>
      <c r="AH26">
        <f t="shared" si="2"/>
        <v>-92.6</v>
      </c>
      <c r="AI26" s="2">
        <f t="shared" si="3"/>
        <v>-81.878577164386357</v>
      </c>
      <c r="AJ26">
        <f t="shared" si="4"/>
        <v>-21.411621485714143</v>
      </c>
      <c r="AK26" s="2">
        <f t="shared" si="5"/>
        <v>-23.019515488721755</v>
      </c>
      <c r="AM26" s="32">
        <f t="shared" si="6"/>
        <v>35.012</v>
      </c>
      <c r="AN26">
        <f t="shared" si="7"/>
        <v>-194.5</v>
      </c>
      <c r="AO26" s="2"/>
      <c r="AP26">
        <f t="shared" si="8"/>
        <v>-39.999999999999993</v>
      </c>
      <c r="AQ26" s="2"/>
    </row>
    <row r="27" spans="1:43">
      <c r="A27" s="12" t="s">
        <v>68</v>
      </c>
      <c r="B27" s="12"/>
      <c r="AG27" s="32">
        <f t="shared" si="1"/>
        <v>40.087000000000003</v>
      </c>
      <c r="AH27">
        <f t="shared" si="2"/>
        <v>-95.8</v>
      </c>
      <c r="AI27" s="2">
        <f t="shared" si="3"/>
        <v>-82.890069951289547</v>
      </c>
      <c r="AJ27">
        <f t="shared" si="4"/>
        <v>-22.498774732165998</v>
      </c>
      <c r="AK27" s="2">
        <f t="shared" si="5"/>
        <v>-24.168049426231487</v>
      </c>
      <c r="AM27" s="32">
        <f t="shared" si="6"/>
        <v>40.037999999999997</v>
      </c>
      <c r="AN27">
        <f t="shared" si="7"/>
        <v>-200.4</v>
      </c>
      <c r="AO27" s="2"/>
      <c r="AP27">
        <f t="shared" si="8"/>
        <v>-42.498774732165998</v>
      </c>
      <c r="AQ27" s="2"/>
    </row>
    <row r="28" spans="1:43">
      <c r="B28" t="s">
        <v>3</v>
      </c>
      <c r="D28" t="s">
        <v>4</v>
      </c>
      <c r="F28" t="s">
        <v>5</v>
      </c>
      <c r="R28" s="17"/>
      <c r="S28" s="17"/>
      <c r="T28" s="17"/>
      <c r="U28" s="17"/>
      <c r="V28" s="17"/>
      <c r="AG28" s="32">
        <f t="shared" si="1"/>
        <v>45.05</v>
      </c>
      <c r="AH28">
        <f t="shared" si="2"/>
        <v>-98.2</v>
      </c>
      <c r="AI28" s="2">
        <f t="shared" si="3"/>
        <v>-83.666592776767985</v>
      </c>
      <c r="AJ28">
        <f t="shared" si="4"/>
        <v>-23.098039199714862</v>
      </c>
      <c r="AK28" s="2">
        <f t="shared" si="5"/>
        <v>-25.168000076325235</v>
      </c>
      <c r="AM28" s="32">
        <f t="shared" si="6"/>
        <v>45.042999999999999</v>
      </c>
      <c r="AN28">
        <f t="shared" si="7"/>
        <v>-206.1</v>
      </c>
      <c r="AO28" s="2"/>
      <c r="AP28">
        <f t="shared" si="8"/>
        <v>-46.020599913279618</v>
      </c>
      <c r="AQ28" s="2"/>
    </row>
    <row r="29" spans="1:43">
      <c r="A29" s="16" t="s">
        <v>69</v>
      </c>
      <c r="B29" s="7" t="s">
        <v>12</v>
      </c>
      <c r="C29" s="8" t="s">
        <v>13</v>
      </c>
      <c r="D29" s="9" t="s">
        <v>14</v>
      </c>
      <c r="E29" s="8" t="s">
        <v>15</v>
      </c>
      <c r="F29" s="8" t="s">
        <v>16</v>
      </c>
      <c r="R29" s="17"/>
      <c r="S29" s="17"/>
      <c r="T29" s="17"/>
      <c r="U29" s="17"/>
      <c r="V29" s="17"/>
      <c r="AG29" s="36">
        <f t="shared" si="1"/>
        <v>50.018000000000001</v>
      </c>
      <c r="AH29" s="4">
        <f t="shared" si="2"/>
        <v>-100.6</v>
      </c>
      <c r="AI29" s="5">
        <f t="shared" si="3"/>
        <v>-84.291272227961329</v>
      </c>
      <c r="AJ29" s="4">
        <f t="shared" si="4"/>
        <v>-24.436974992327126</v>
      </c>
      <c r="AK29" s="5">
        <f t="shared" si="5"/>
        <v>-26.066641961166894</v>
      </c>
      <c r="AM29" s="36">
        <f t="shared" si="6"/>
        <v>50.024000000000001</v>
      </c>
      <c r="AN29" s="4">
        <f t="shared" si="7"/>
        <v>-211.3</v>
      </c>
      <c r="AO29" s="5"/>
      <c r="AP29" s="4">
        <f t="shared" si="8"/>
        <v>-47.958800173440743</v>
      </c>
      <c r="AQ29" s="5"/>
    </row>
    <row r="30" spans="1:43">
      <c r="A30" s="41">
        <v>1.05</v>
      </c>
      <c r="B30" s="38">
        <f>H2</f>
        <v>2</v>
      </c>
      <c r="C30" s="34">
        <v>1.01</v>
      </c>
      <c r="D30" s="10">
        <v>34.299999999999997</v>
      </c>
      <c r="E30" s="2">
        <v>-18.100000000000001</v>
      </c>
      <c r="F30" s="2">
        <f t="shared" ref="F30:F47" si="9">20*LOG(ABS(C30/B30),10)</f>
        <v>-5.9341724376267715</v>
      </c>
      <c r="R30" s="17"/>
      <c r="S30" s="17"/>
      <c r="T30" s="17"/>
      <c r="U30" s="17"/>
      <c r="V30" s="17"/>
    </row>
    <row r="31" spans="1:43">
      <c r="A31" s="32">
        <v>2.0489999999999999</v>
      </c>
      <c r="B31" s="38">
        <f>H2</f>
        <v>2</v>
      </c>
      <c r="C31" s="34">
        <v>1</v>
      </c>
      <c r="D31" s="10">
        <v>34.4</v>
      </c>
      <c r="E31" s="2">
        <v>-34.5</v>
      </c>
      <c r="F31" s="2">
        <f t="shared" si="9"/>
        <v>-6.0205999132796233</v>
      </c>
      <c r="R31" s="17"/>
      <c r="S31" s="17"/>
      <c r="T31" s="17"/>
      <c r="U31" s="17"/>
      <c r="V31" s="17"/>
      <c r="AH31" t="s">
        <v>70</v>
      </c>
    </row>
    <row r="32" spans="1:43">
      <c r="A32" s="32">
        <v>3.048</v>
      </c>
      <c r="B32" s="38">
        <f>H2</f>
        <v>2</v>
      </c>
      <c r="C32" s="34">
        <v>0.97</v>
      </c>
      <c r="D32" s="10">
        <v>34</v>
      </c>
      <c r="E32" s="2">
        <v>-54.3</v>
      </c>
      <c r="F32" s="2">
        <f t="shared" si="9"/>
        <v>-6.2851652279547263</v>
      </c>
      <c r="R32" s="17"/>
      <c r="S32" s="17"/>
      <c r="T32" s="17"/>
      <c r="U32" s="17"/>
      <c r="V32" s="17"/>
    </row>
    <row r="33" spans="1:22">
      <c r="A33" s="32">
        <v>4</v>
      </c>
      <c r="B33" s="38">
        <f>H2</f>
        <v>2</v>
      </c>
      <c r="C33" s="34">
        <v>0.88</v>
      </c>
      <c r="D33" s="10">
        <v>33.1</v>
      </c>
      <c r="E33" s="2">
        <v>-73.2</v>
      </c>
      <c r="F33" s="2">
        <f t="shared" si="9"/>
        <v>-7.1309464702762506</v>
      </c>
      <c r="R33" s="17"/>
      <c r="S33" s="17"/>
      <c r="T33" s="17"/>
      <c r="U33" s="17"/>
      <c r="V33" s="17"/>
    </row>
    <row r="34" spans="1:22">
      <c r="A34" s="32">
        <v>5.0599999999999996</v>
      </c>
      <c r="B34" s="38">
        <f>H2</f>
        <v>2</v>
      </c>
      <c r="C34" s="34">
        <v>0.73</v>
      </c>
      <c r="D34" s="10">
        <v>31.1</v>
      </c>
      <c r="E34" s="2">
        <v>-92.9</v>
      </c>
      <c r="F34" s="2">
        <f t="shared" si="9"/>
        <v>-8.7541427108705054</v>
      </c>
      <c r="R34" s="17"/>
      <c r="S34" s="17"/>
      <c r="T34" s="17"/>
      <c r="U34" s="17"/>
      <c r="V34" s="17"/>
    </row>
    <row r="35" spans="1:22">
      <c r="A35" s="32">
        <v>6.024</v>
      </c>
      <c r="B35" s="38">
        <f>H2</f>
        <v>2</v>
      </c>
      <c r="C35" s="34">
        <v>0.62</v>
      </c>
      <c r="D35" s="10">
        <v>30.1</v>
      </c>
      <c r="E35" s="2">
        <v>-107.7</v>
      </c>
      <c r="F35" s="2">
        <f t="shared" si="9"/>
        <v>-10.172766123314545</v>
      </c>
      <c r="R35" s="17"/>
      <c r="S35" s="17"/>
      <c r="T35" s="17"/>
      <c r="U35" s="17"/>
      <c r="V35" s="17"/>
    </row>
    <row r="36" spans="1:22">
      <c r="A36" s="32">
        <v>7.0659999999999998</v>
      </c>
      <c r="B36" s="38">
        <f>H2</f>
        <v>2</v>
      </c>
      <c r="C36" s="34">
        <v>0.48</v>
      </c>
      <c r="D36" s="10">
        <v>28.1</v>
      </c>
      <c r="E36" s="2">
        <v>-120.6</v>
      </c>
      <c r="F36" s="2">
        <f t="shared" si="9"/>
        <v>-12.39577516576788</v>
      </c>
      <c r="R36" s="17"/>
      <c r="S36" s="17"/>
      <c r="T36" s="17"/>
      <c r="U36" s="17"/>
      <c r="V36" s="17"/>
    </row>
    <row r="37" spans="1:22">
      <c r="A37" s="32">
        <v>8.0050000000000008</v>
      </c>
      <c r="B37" s="38">
        <f>H2</f>
        <v>2</v>
      </c>
      <c r="C37" s="34">
        <v>0.39</v>
      </c>
      <c r="D37" s="10">
        <v>26.3</v>
      </c>
      <c r="E37" s="2">
        <v>-129.97</v>
      </c>
      <c r="F37" s="2">
        <f t="shared" si="9"/>
        <v>-14.199307772749638</v>
      </c>
      <c r="R37" s="17"/>
      <c r="S37" s="17"/>
      <c r="T37" s="17"/>
      <c r="U37" s="17"/>
      <c r="V37" s="17"/>
    </row>
    <row r="38" spans="1:22">
      <c r="A38" s="32">
        <v>9.0289999999999999</v>
      </c>
      <c r="B38" s="38">
        <f>H2</f>
        <v>2</v>
      </c>
      <c r="C38" s="34">
        <v>0.32</v>
      </c>
      <c r="D38" s="10">
        <v>24.4</v>
      </c>
      <c r="E38" s="2">
        <v>-138</v>
      </c>
      <c r="F38" s="2">
        <f t="shared" si="9"/>
        <v>-15.917600346881503</v>
      </c>
      <c r="R38" s="17"/>
      <c r="S38" s="17"/>
      <c r="T38" s="17"/>
      <c r="U38" s="17"/>
      <c r="V38" s="17"/>
    </row>
    <row r="39" spans="1:22">
      <c r="A39" s="32">
        <v>10.029999999999999</v>
      </c>
      <c r="B39" s="38">
        <f>H2</f>
        <v>2</v>
      </c>
      <c r="C39" s="34">
        <v>0.26</v>
      </c>
      <c r="D39" s="10">
        <v>22.7</v>
      </c>
      <c r="E39" s="2">
        <v>-143.9</v>
      </c>
      <c r="F39" s="2">
        <f t="shared" si="9"/>
        <v>-17.721132953863265</v>
      </c>
      <c r="R39" s="17"/>
      <c r="S39" s="17"/>
      <c r="T39" s="17"/>
      <c r="U39" s="17"/>
      <c r="V39" s="17"/>
    </row>
    <row r="40" spans="1:22">
      <c r="A40" s="32">
        <v>15</v>
      </c>
      <c r="B40" s="38">
        <f>H2</f>
        <v>2</v>
      </c>
      <c r="C40" s="34">
        <v>0.12</v>
      </c>
      <c r="D40" s="10">
        <v>15.7</v>
      </c>
      <c r="E40" s="2">
        <v>-163.6</v>
      </c>
      <c r="F40" s="2">
        <f t="shared" si="9"/>
        <v>-24.436974992327126</v>
      </c>
      <c r="G40" t="s">
        <v>53</v>
      </c>
      <c r="R40" s="17"/>
      <c r="S40" s="17"/>
      <c r="T40" s="17"/>
      <c r="U40" s="17"/>
      <c r="V40" s="17"/>
    </row>
    <row r="41" spans="1:22">
      <c r="A41" s="32">
        <v>20.071999999999999</v>
      </c>
      <c r="B41" s="38">
        <f>H2</f>
        <v>2</v>
      </c>
      <c r="C41" s="34">
        <v>0.08</v>
      </c>
      <c r="D41" s="10">
        <v>10.6</v>
      </c>
      <c r="E41" s="2">
        <v>-175.2</v>
      </c>
      <c r="F41" s="2">
        <f t="shared" si="9"/>
        <v>-27.95880017344075</v>
      </c>
    </row>
    <row r="42" spans="1:22">
      <c r="A42" s="32">
        <v>25.015999999999998</v>
      </c>
      <c r="B42" s="38">
        <f>H2</f>
        <v>2</v>
      </c>
      <c r="C42" s="34">
        <v>0.04</v>
      </c>
      <c r="D42" s="10">
        <v>6.3</v>
      </c>
      <c r="E42" s="2">
        <v>-181.6</v>
      </c>
      <c r="F42" s="2">
        <f t="shared" si="9"/>
        <v>-33.979400086720368</v>
      </c>
    </row>
    <row r="43" spans="1:22">
      <c r="A43" s="32">
        <v>30.077999999999999</v>
      </c>
      <c r="B43" s="38">
        <f>H2</f>
        <v>2</v>
      </c>
      <c r="C43" s="34">
        <v>0.03</v>
      </c>
      <c r="D43" s="10">
        <v>2.6</v>
      </c>
      <c r="E43" s="2">
        <v>-188.6</v>
      </c>
      <c r="F43" s="2">
        <f t="shared" si="9"/>
        <v>-36.478174818886373</v>
      </c>
    </row>
    <row r="44" spans="1:22">
      <c r="A44" s="32">
        <v>35.012</v>
      </c>
      <c r="B44" s="38">
        <f>H2</f>
        <v>2</v>
      </c>
      <c r="C44" s="34">
        <v>0.02</v>
      </c>
      <c r="D44" s="10">
        <v>0</v>
      </c>
      <c r="E44" s="2">
        <v>-194.5</v>
      </c>
      <c r="F44" s="2">
        <f t="shared" si="9"/>
        <v>-39.999999999999993</v>
      </c>
    </row>
    <row r="45" spans="1:22">
      <c r="A45" s="32">
        <v>40.037999999999997</v>
      </c>
      <c r="B45" s="38">
        <f>H2</f>
        <v>2</v>
      </c>
      <c r="C45" s="44">
        <v>1.4999999999999999E-2</v>
      </c>
      <c r="D45" s="10">
        <v>0</v>
      </c>
      <c r="E45" s="2">
        <v>-200.4</v>
      </c>
      <c r="F45" s="2">
        <f t="shared" si="9"/>
        <v>-42.498774732165998</v>
      </c>
      <c r="J45" t="s">
        <v>71</v>
      </c>
    </row>
    <row r="46" spans="1:22">
      <c r="A46" s="32">
        <v>45.042999999999999</v>
      </c>
      <c r="B46" s="38">
        <f>H2</f>
        <v>2</v>
      </c>
      <c r="C46" s="44">
        <v>0.01</v>
      </c>
      <c r="D46" s="10">
        <v>0</v>
      </c>
      <c r="E46" s="2">
        <v>-206.1</v>
      </c>
      <c r="F46" s="2">
        <f t="shared" si="9"/>
        <v>-46.020599913279618</v>
      </c>
    </row>
    <row r="47" spans="1:22">
      <c r="A47" s="36">
        <v>50.024000000000001</v>
      </c>
      <c r="B47" s="39">
        <f>H2</f>
        <v>2</v>
      </c>
      <c r="C47" s="45">
        <v>8.0000000000000002E-3</v>
      </c>
      <c r="D47" s="11">
        <v>0</v>
      </c>
      <c r="E47" s="5">
        <v>-211.3</v>
      </c>
      <c r="F47" s="5">
        <f t="shared" si="9"/>
        <v>-47.958800173440743</v>
      </c>
    </row>
    <row r="52" spans="1:6">
      <c r="A52" s="12" t="s">
        <v>72</v>
      </c>
      <c r="B52" s="12"/>
    </row>
    <row r="53" spans="1:6">
      <c r="B53" t="s">
        <v>3</v>
      </c>
      <c r="D53" t="s">
        <v>4</v>
      </c>
      <c r="F53" t="s">
        <v>5</v>
      </c>
    </row>
    <row r="54" spans="1:6">
      <c r="A54" s="9" t="s">
        <v>11</v>
      </c>
      <c r="B54" s="7" t="s">
        <v>12</v>
      </c>
      <c r="C54" s="8" t="s">
        <v>13</v>
      </c>
      <c r="D54" s="9" t="s">
        <v>14</v>
      </c>
      <c r="E54" s="8" t="s">
        <v>15</v>
      </c>
      <c r="F54" s="8" t="s">
        <v>16</v>
      </c>
    </row>
    <row r="55" spans="1:6">
      <c r="A55" s="32">
        <v>1.01</v>
      </c>
      <c r="B55" s="38">
        <f>H2</f>
        <v>2</v>
      </c>
      <c r="C55" s="34">
        <v>1</v>
      </c>
      <c r="D55" s="35">
        <v>33.700000000000003</v>
      </c>
      <c r="E55" s="33">
        <v>-24</v>
      </c>
      <c r="F55" s="2">
        <f t="shared" ref="F55:F72" si="10">20*LOG(ABS(C55/B55),10)</f>
        <v>-6.0205999132796233</v>
      </c>
    </row>
    <row r="56" spans="1:6">
      <c r="A56" s="32">
        <v>2.0579999999999998</v>
      </c>
      <c r="B56" s="38">
        <f>H2</f>
        <v>2</v>
      </c>
      <c r="C56" s="34">
        <v>1</v>
      </c>
      <c r="D56" s="35">
        <v>34</v>
      </c>
      <c r="E56" s="33">
        <v>-48.3</v>
      </c>
      <c r="F56" s="2">
        <f t="shared" si="10"/>
        <v>-6.0205999132796233</v>
      </c>
    </row>
    <row r="57" spans="1:6">
      <c r="A57" s="32">
        <v>3.0720000000000001</v>
      </c>
      <c r="B57" s="38">
        <f>H2</f>
        <v>2</v>
      </c>
      <c r="C57" s="34">
        <v>0.99</v>
      </c>
      <c r="D57" s="35">
        <v>33.9</v>
      </c>
      <c r="E57" s="33">
        <v>-76.099999999999994</v>
      </c>
      <c r="F57" s="2">
        <f t="shared" si="10"/>
        <v>-6.1078960213286244</v>
      </c>
    </row>
    <row r="58" spans="1:6">
      <c r="A58" s="32">
        <v>4.0330000000000004</v>
      </c>
      <c r="B58" s="38">
        <f>H2</f>
        <v>2</v>
      </c>
      <c r="C58" s="34">
        <v>0.91</v>
      </c>
      <c r="D58" s="35">
        <v>33.4</v>
      </c>
      <c r="E58" s="33">
        <v>-105.4</v>
      </c>
      <c r="F58" s="2">
        <f t="shared" si="10"/>
        <v>-6.8397720668577513</v>
      </c>
    </row>
    <row r="59" spans="1:6">
      <c r="A59" s="32">
        <v>5.0620000000000003</v>
      </c>
      <c r="B59" s="38">
        <f>H2</f>
        <v>2</v>
      </c>
      <c r="C59" s="34">
        <v>0.73</v>
      </c>
      <c r="D59" s="35">
        <v>31.5</v>
      </c>
      <c r="E59" s="33">
        <v>-137.1</v>
      </c>
      <c r="F59" s="2">
        <f t="shared" si="10"/>
        <v>-8.7541427108705054</v>
      </c>
    </row>
    <row r="60" spans="1:6">
      <c r="A60" s="32">
        <v>6.01</v>
      </c>
      <c r="B60" s="38">
        <f>H2</f>
        <v>2</v>
      </c>
      <c r="C60" s="34">
        <v>0.53</v>
      </c>
      <c r="D60" s="35">
        <v>28.4</v>
      </c>
      <c r="E60" s="33">
        <v>-162</v>
      </c>
      <c r="F60" s="2">
        <f t="shared" si="10"/>
        <v>-11.535082521263842</v>
      </c>
    </row>
    <row r="61" spans="1:6">
      <c r="A61" s="32">
        <v>7.0039999999999996</v>
      </c>
      <c r="B61" s="38">
        <f>H2</f>
        <v>2</v>
      </c>
      <c r="C61" s="34">
        <v>0.38</v>
      </c>
      <c r="D61" s="35">
        <v>25.7</v>
      </c>
      <c r="E61" s="33">
        <v>-179.6</v>
      </c>
      <c r="F61" s="2">
        <f t="shared" si="10"/>
        <v>-14.424927980943419</v>
      </c>
    </row>
    <row r="62" spans="1:6">
      <c r="A62" s="32">
        <v>8.0310000000000006</v>
      </c>
      <c r="B62" s="38">
        <f>H2</f>
        <v>2</v>
      </c>
      <c r="C62" s="34">
        <v>0.27</v>
      </c>
      <c r="D62" s="35">
        <v>22.5</v>
      </c>
      <c r="E62" s="33">
        <v>-194.1</v>
      </c>
      <c r="F62" s="2">
        <f t="shared" si="10"/>
        <v>-17.393324630099876</v>
      </c>
    </row>
    <row r="63" spans="1:6">
      <c r="A63" s="32">
        <v>9.0459999999999994</v>
      </c>
      <c r="B63" s="38">
        <f>H2</f>
        <v>2</v>
      </c>
      <c r="C63" s="34">
        <v>0.18</v>
      </c>
      <c r="D63" s="35">
        <v>19.5</v>
      </c>
      <c r="E63" s="33">
        <v>-205.2</v>
      </c>
      <c r="F63" s="2">
        <f t="shared" si="10"/>
        <v>-20.915149811213503</v>
      </c>
    </row>
    <row r="64" spans="1:6">
      <c r="A64" s="32">
        <v>10.009</v>
      </c>
      <c r="B64" s="38">
        <f>H2</f>
        <v>2</v>
      </c>
      <c r="C64" s="34">
        <v>0.14000000000000001</v>
      </c>
      <c r="D64" s="35">
        <v>16.2</v>
      </c>
      <c r="E64" s="33">
        <v>-212.7</v>
      </c>
      <c r="F64" s="2">
        <f t="shared" si="10"/>
        <v>-23.098039199714862</v>
      </c>
    </row>
    <row r="65" spans="1:10">
      <c r="A65" s="32">
        <v>15.096</v>
      </c>
      <c r="B65" s="38">
        <f>H2</f>
        <v>2</v>
      </c>
      <c r="C65" s="44">
        <v>3.6999999999999998E-2</v>
      </c>
      <c r="D65" s="35">
        <v>5.4</v>
      </c>
      <c r="E65" s="33">
        <v>-236.5</v>
      </c>
      <c r="F65" s="2">
        <f t="shared" si="10"/>
        <v>-34.656565431939718</v>
      </c>
      <c r="G65" t="s">
        <v>53</v>
      </c>
    </row>
    <row r="66" spans="1:10">
      <c r="A66" s="32">
        <v>20.062000000000001</v>
      </c>
      <c r="B66" s="38">
        <f>H2</f>
        <v>2</v>
      </c>
      <c r="C66" s="44">
        <v>1.6E-2</v>
      </c>
      <c r="D66" s="35">
        <v>0</v>
      </c>
      <c r="E66" s="33">
        <v>-248.4</v>
      </c>
      <c r="F66" s="2">
        <f t="shared" si="10"/>
        <v>-41.938200260161125</v>
      </c>
      <c r="J66" t="s">
        <v>73</v>
      </c>
    </row>
    <row r="67" spans="1:10">
      <c r="A67" s="32">
        <v>25.055</v>
      </c>
      <c r="B67" s="38">
        <f>H2</f>
        <v>2</v>
      </c>
      <c r="C67" s="44">
        <v>8.0000000000000002E-3</v>
      </c>
      <c r="D67" s="35">
        <v>0</v>
      </c>
      <c r="E67" s="33">
        <v>-256.3</v>
      </c>
      <c r="F67" s="2">
        <f t="shared" si="10"/>
        <v>-47.958800173440743</v>
      </c>
    </row>
    <row r="68" spans="1:10">
      <c r="A68" s="32">
        <v>30.094999999999999</v>
      </c>
      <c r="B68" s="38">
        <f>H2</f>
        <v>2</v>
      </c>
      <c r="C68" s="44">
        <v>5.0000000000000001E-3</v>
      </c>
      <c r="D68" s="35">
        <v>0</v>
      </c>
      <c r="E68" s="33">
        <v>-262.3</v>
      </c>
      <c r="F68" s="2">
        <f t="shared" si="10"/>
        <v>-52.041199826559243</v>
      </c>
    </row>
    <row r="69" spans="1:10">
      <c r="A69" s="32">
        <v>35.055999999999997</v>
      </c>
      <c r="B69" s="38">
        <f>H2</f>
        <v>2</v>
      </c>
      <c r="C69" s="44">
        <v>3.0000000000000001E-3</v>
      </c>
      <c r="D69" s="35">
        <v>0</v>
      </c>
      <c r="E69" s="33">
        <v>-267.89999999999998</v>
      </c>
      <c r="F69" s="2">
        <f t="shared" si="10"/>
        <v>-56.478174818886366</v>
      </c>
    </row>
    <row r="70" spans="1:10">
      <c r="A70" s="32">
        <v>40</v>
      </c>
      <c r="B70" s="38">
        <f>H2</f>
        <v>2</v>
      </c>
      <c r="C70" s="44">
        <v>2E-3</v>
      </c>
      <c r="D70" s="35">
        <v>0</v>
      </c>
      <c r="E70" s="33">
        <v>-272.89999999999998</v>
      </c>
      <c r="F70" s="2">
        <f t="shared" si="10"/>
        <v>-59.999999999999993</v>
      </c>
    </row>
    <row r="71" spans="1:10">
      <c r="A71" s="32">
        <v>45.058999999999997</v>
      </c>
      <c r="B71" s="38">
        <f>H2</f>
        <v>2</v>
      </c>
      <c r="C71" s="44">
        <v>1E-3</v>
      </c>
      <c r="D71" s="35">
        <v>0</v>
      </c>
      <c r="E71" s="33">
        <v>-278.8</v>
      </c>
      <c r="F71" s="2">
        <f t="shared" si="10"/>
        <v>-66.020599913279611</v>
      </c>
    </row>
    <row r="72" spans="1:10">
      <c r="A72" s="36">
        <v>50.084000000000003</v>
      </c>
      <c r="B72" s="39">
        <f>H2</f>
        <v>2</v>
      </c>
      <c r="C72" s="45">
        <v>1E-3</v>
      </c>
      <c r="D72" s="40">
        <v>0</v>
      </c>
      <c r="E72" s="42">
        <v>-285.5</v>
      </c>
      <c r="F72" s="5">
        <f t="shared" si="10"/>
        <v>-66.020599913279611</v>
      </c>
    </row>
    <row r="78" spans="1:10">
      <c r="A78" s="12" t="s">
        <v>74</v>
      </c>
      <c r="B78" s="12"/>
    </row>
    <row r="79" spans="1:10">
      <c r="B79" t="s">
        <v>3</v>
      </c>
      <c r="D79" t="s">
        <v>4</v>
      </c>
      <c r="F79" t="s">
        <v>5</v>
      </c>
    </row>
    <row r="80" spans="1:10">
      <c r="A80" s="9" t="s">
        <v>11</v>
      </c>
      <c r="B80" s="7" t="s">
        <v>12</v>
      </c>
      <c r="C80" s="8" t="s">
        <v>13</v>
      </c>
      <c r="D80" s="9" t="s">
        <v>14</v>
      </c>
      <c r="E80" s="8" t="s">
        <v>15</v>
      </c>
      <c r="F80" s="8" t="s">
        <v>16</v>
      </c>
    </row>
    <row r="81" spans="1:7">
      <c r="A81" s="32">
        <v>1.0049999999999999</v>
      </c>
      <c r="B81" s="38">
        <f>H2</f>
        <v>2</v>
      </c>
      <c r="C81" s="2">
        <v>0.96</v>
      </c>
      <c r="D81" s="35">
        <v>33.9</v>
      </c>
      <c r="E81" s="2">
        <v>-29.9</v>
      </c>
      <c r="F81" s="2">
        <f t="shared" ref="F81:F98" si="11">20*LOG(ABS(C81/B81),10)</f>
        <v>-6.3751752524882557</v>
      </c>
    </row>
    <row r="82" spans="1:7">
      <c r="A82" s="32">
        <v>2.004</v>
      </c>
      <c r="B82" s="38">
        <f>H2</f>
        <v>2</v>
      </c>
      <c r="C82" s="2">
        <v>0.92</v>
      </c>
      <c r="D82" s="35">
        <v>33.5</v>
      </c>
      <c r="E82" s="2">
        <v>-54.6</v>
      </c>
      <c r="F82" s="2">
        <f t="shared" si="11"/>
        <v>-6.7448433663685172</v>
      </c>
    </row>
    <row r="83" spans="1:7">
      <c r="A83" s="32">
        <v>3.03</v>
      </c>
      <c r="B83" s="38">
        <f>H2</f>
        <v>2</v>
      </c>
      <c r="C83" s="2">
        <v>0.92</v>
      </c>
      <c r="D83" s="35">
        <v>33.799999999999997</v>
      </c>
      <c r="E83" s="2">
        <v>-82.4</v>
      </c>
      <c r="F83" s="2">
        <f t="shared" si="11"/>
        <v>-6.7448433663685172</v>
      </c>
    </row>
    <row r="84" spans="1:7">
      <c r="A84" s="32">
        <v>4.0030000000000001</v>
      </c>
      <c r="B84" s="38">
        <f>H2</f>
        <v>2</v>
      </c>
      <c r="C84" s="2">
        <v>0.97</v>
      </c>
      <c r="D84" s="35">
        <v>34.200000000000003</v>
      </c>
      <c r="E84" s="2">
        <v>-118.3</v>
      </c>
      <c r="F84" s="2">
        <f t="shared" si="11"/>
        <v>-6.2851652279547263</v>
      </c>
    </row>
    <row r="85" spans="1:7">
      <c r="A85" s="32">
        <v>5.03</v>
      </c>
      <c r="B85" s="38">
        <f>H2</f>
        <v>2</v>
      </c>
      <c r="C85" s="2">
        <v>0.76</v>
      </c>
      <c r="D85" s="35">
        <v>32</v>
      </c>
      <c r="E85" s="2">
        <v>-168.4</v>
      </c>
      <c r="F85" s="2">
        <f t="shared" si="11"/>
        <v>-8.4043280676637959</v>
      </c>
    </row>
    <row r="86" spans="1:7">
      <c r="A86" s="32">
        <v>6.0679999999999996</v>
      </c>
      <c r="B86" s="38">
        <f>H2</f>
        <v>2</v>
      </c>
      <c r="C86" s="2">
        <v>0.42</v>
      </c>
      <c r="D86" s="35">
        <v>26.8</v>
      </c>
      <c r="E86" s="2">
        <v>-200.8</v>
      </c>
      <c r="F86" s="2">
        <f t="shared" si="11"/>
        <v>-13.555614105321613</v>
      </c>
    </row>
    <row r="87" spans="1:7">
      <c r="A87" s="32">
        <v>7.0270000000000001</v>
      </c>
      <c r="B87" s="38">
        <f>H2</f>
        <v>2</v>
      </c>
      <c r="C87" s="2">
        <v>0.24</v>
      </c>
      <c r="D87" s="35">
        <v>22</v>
      </c>
      <c r="E87" s="2">
        <v>-217.7</v>
      </c>
      <c r="F87" s="2">
        <f t="shared" si="11"/>
        <v>-18.416375079047501</v>
      </c>
    </row>
    <row r="88" spans="1:7">
      <c r="A88" s="32">
        <v>8.0039999999999996</v>
      </c>
      <c r="B88" s="38">
        <f>H2</f>
        <v>2</v>
      </c>
      <c r="C88" s="2">
        <v>0.16</v>
      </c>
      <c r="D88" s="35">
        <v>18</v>
      </c>
      <c r="E88" s="2">
        <v>-228</v>
      </c>
      <c r="F88" s="2">
        <f t="shared" si="11"/>
        <v>-21.938200260161128</v>
      </c>
    </row>
    <row r="89" spans="1:7">
      <c r="A89" s="32">
        <v>9.0079999999999991</v>
      </c>
      <c r="B89" s="38">
        <f>H2</f>
        <v>2</v>
      </c>
      <c r="C89" s="2">
        <v>0.1</v>
      </c>
      <c r="D89" s="35">
        <v>14.2</v>
      </c>
      <c r="E89" s="2">
        <v>-235</v>
      </c>
      <c r="F89" s="2">
        <f t="shared" si="11"/>
        <v>-26.020599913279622</v>
      </c>
    </row>
    <row r="90" spans="1:7">
      <c r="A90" s="32">
        <v>10.039999999999999</v>
      </c>
      <c r="B90" s="38">
        <f>H2</f>
        <v>2</v>
      </c>
      <c r="C90" s="2">
        <v>6.7000000000000004E-2</v>
      </c>
      <c r="D90" s="35">
        <v>11</v>
      </c>
      <c r="E90" s="2">
        <v>-240.4</v>
      </c>
      <c r="F90" s="2">
        <f t="shared" si="11"/>
        <v>-29.499103859263091</v>
      </c>
    </row>
    <row r="91" spans="1:7">
      <c r="A91" s="32">
        <v>15.098000000000001</v>
      </c>
      <c r="B91" s="38">
        <f>H2</f>
        <v>2</v>
      </c>
      <c r="C91" s="2">
        <v>1.9E-2</v>
      </c>
      <c r="D91" s="35">
        <v>0</v>
      </c>
      <c r="E91" s="2">
        <v>-254.4</v>
      </c>
      <c r="F91" s="2">
        <f t="shared" si="11"/>
        <v>-40.445527894223041</v>
      </c>
      <c r="G91" t="s">
        <v>53</v>
      </c>
    </row>
    <row r="92" spans="1:7">
      <c r="A92" s="32">
        <v>20.013999999999999</v>
      </c>
      <c r="B92" s="38">
        <f>H2</f>
        <v>2</v>
      </c>
      <c r="C92" s="2">
        <v>8.0000000000000002E-3</v>
      </c>
      <c r="D92" s="35">
        <v>0</v>
      </c>
      <c r="E92" s="2">
        <v>-261.8</v>
      </c>
      <c r="F92" s="2">
        <f t="shared" si="11"/>
        <v>-47.958800173440743</v>
      </c>
    </row>
    <row r="93" spans="1:7">
      <c r="A93" s="32">
        <v>25.050999999999998</v>
      </c>
      <c r="B93" s="38">
        <f>H2</f>
        <v>2</v>
      </c>
      <c r="C93" s="2">
        <v>4.0000000000000001E-3</v>
      </c>
      <c r="D93" s="35">
        <v>0</v>
      </c>
      <c r="E93" s="2">
        <v>-267.60000000000002</v>
      </c>
      <c r="F93" s="2">
        <f t="shared" si="11"/>
        <v>-53.979400086720368</v>
      </c>
    </row>
    <row r="94" spans="1:7">
      <c r="A94" s="32">
        <v>30.108000000000001</v>
      </c>
      <c r="B94" s="38">
        <f>H2</f>
        <v>2</v>
      </c>
      <c r="C94" s="2">
        <v>3.0000000000000001E-3</v>
      </c>
      <c r="D94" s="35">
        <v>0</v>
      </c>
      <c r="E94" s="2">
        <v>-272.39999999999998</v>
      </c>
      <c r="F94" s="2">
        <f t="shared" si="11"/>
        <v>-56.478174818886366</v>
      </c>
    </row>
    <row r="95" spans="1:7">
      <c r="A95" s="32">
        <v>35.171999999999997</v>
      </c>
      <c r="B95" s="38">
        <f>H2</f>
        <v>2</v>
      </c>
      <c r="C95" s="2">
        <v>2E-3</v>
      </c>
      <c r="D95" s="35">
        <v>0</v>
      </c>
      <c r="E95" s="2">
        <v>-277.89999999999998</v>
      </c>
      <c r="F95" s="2">
        <f t="shared" si="11"/>
        <v>-59.999999999999993</v>
      </c>
    </row>
    <row r="96" spans="1:7">
      <c r="A96" s="32">
        <v>40.091999999999999</v>
      </c>
      <c r="B96" s="38">
        <f>H2</f>
        <v>2</v>
      </c>
      <c r="C96" s="46">
        <v>8.0000000000000004E-4</v>
      </c>
      <c r="D96" s="35">
        <v>0</v>
      </c>
      <c r="E96" s="2">
        <v>-283.3</v>
      </c>
      <c r="F96" s="2">
        <f t="shared" si="11"/>
        <v>-67.958800173440736</v>
      </c>
    </row>
    <row r="97" spans="1:6">
      <c r="A97" s="32">
        <v>45.106000000000002</v>
      </c>
      <c r="B97" s="38">
        <f>H2</f>
        <v>2</v>
      </c>
      <c r="C97" s="46">
        <v>5.6999999999999998E-4</v>
      </c>
      <c r="D97" s="35">
        <v>0</v>
      </c>
      <c r="E97" s="2">
        <v>-290</v>
      </c>
      <c r="F97" s="2">
        <f t="shared" si="11"/>
        <v>-70.903102799829782</v>
      </c>
    </row>
    <row r="98" spans="1:6">
      <c r="A98" s="36">
        <v>50.093000000000004</v>
      </c>
      <c r="B98" s="39">
        <f>H2</f>
        <v>2</v>
      </c>
      <c r="C98" s="48">
        <v>4.0000000000000002E-4</v>
      </c>
      <c r="D98" s="40">
        <v>0</v>
      </c>
      <c r="E98" s="5">
        <v>-297.7</v>
      </c>
      <c r="F98" s="5">
        <f t="shared" si="11"/>
        <v>-73.979400086720375</v>
      </c>
    </row>
    <row r="104" spans="1:6">
      <c r="A104" s="12" t="s">
        <v>75</v>
      </c>
      <c r="B104" s="12"/>
    </row>
    <row r="105" spans="1:6">
      <c r="B105" t="s">
        <v>3</v>
      </c>
      <c r="D105" t="s">
        <v>4</v>
      </c>
      <c r="F105" t="s">
        <v>5</v>
      </c>
    </row>
    <row r="106" spans="1:6">
      <c r="A106" s="13" t="s">
        <v>11</v>
      </c>
      <c r="B106" s="13" t="s">
        <v>12</v>
      </c>
      <c r="C106" s="15" t="s">
        <v>13</v>
      </c>
      <c r="D106" s="16" t="s">
        <v>14</v>
      </c>
      <c r="E106" s="15" t="s">
        <v>15</v>
      </c>
      <c r="F106" s="15" t="s">
        <v>16</v>
      </c>
    </row>
    <row r="107" spans="1:6">
      <c r="A107" s="51">
        <v>12.015000000000001</v>
      </c>
      <c r="B107" s="52">
        <f>H2</f>
        <v>2</v>
      </c>
      <c r="C107" s="53">
        <v>0.01</v>
      </c>
      <c r="D107" s="16">
        <v>0</v>
      </c>
      <c r="E107" s="14">
        <v>238.5</v>
      </c>
      <c r="F107" s="15">
        <f t="shared" ref="F107:F130" si="12">20*LOG(ABS(C107/B107),10)</f>
        <v>-46.020599913279618</v>
      </c>
    </row>
    <row r="108" spans="1:6">
      <c r="A108" s="54">
        <v>13.031000000000001</v>
      </c>
      <c r="B108" s="49">
        <f>H2</f>
        <v>2</v>
      </c>
      <c r="C108" s="44">
        <v>1.7000000000000001E-2</v>
      </c>
      <c r="D108" s="10">
        <v>0</v>
      </c>
      <c r="E108">
        <v>235.2</v>
      </c>
      <c r="F108" s="2">
        <f t="shared" si="12"/>
        <v>-41.411621485714143</v>
      </c>
    </row>
    <row r="109" spans="1:6">
      <c r="A109" s="54">
        <v>14</v>
      </c>
      <c r="B109" s="49">
        <f>H2</f>
        <v>2</v>
      </c>
      <c r="C109" s="44">
        <v>2.8000000000000001E-2</v>
      </c>
      <c r="D109" s="10">
        <v>3.4</v>
      </c>
      <c r="E109">
        <v>229.4</v>
      </c>
      <c r="F109" s="2">
        <f t="shared" si="12"/>
        <v>-37.077439286435244</v>
      </c>
    </row>
    <row r="110" spans="1:6">
      <c r="A110" s="54">
        <v>15.052</v>
      </c>
      <c r="B110" s="49">
        <f>H2</f>
        <v>2</v>
      </c>
      <c r="C110" s="44">
        <v>5.3999999999999999E-2</v>
      </c>
      <c r="D110" s="10">
        <v>9.4</v>
      </c>
      <c r="E110">
        <v>219.9</v>
      </c>
      <c r="F110" s="2">
        <f t="shared" si="12"/>
        <v>-31.372724716820251</v>
      </c>
    </row>
    <row r="111" spans="1:6">
      <c r="A111" s="54">
        <v>16.033000000000001</v>
      </c>
      <c r="B111" s="49">
        <f>H2</f>
        <v>2</v>
      </c>
      <c r="C111" s="44">
        <v>0.12</v>
      </c>
      <c r="D111" s="10">
        <v>15.3</v>
      </c>
      <c r="E111">
        <v>206.6</v>
      </c>
      <c r="F111" s="2">
        <f t="shared" si="12"/>
        <v>-24.436974992327126</v>
      </c>
    </row>
    <row r="112" spans="1:6">
      <c r="A112" s="54">
        <v>17.021000000000001</v>
      </c>
      <c r="B112" s="49">
        <f>H2</f>
        <v>2</v>
      </c>
      <c r="C112" s="44">
        <v>0.27</v>
      </c>
      <c r="D112" s="10">
        <v>23.1</v>
      </c>
      <c r="E112">
        <v>183.2</v>
      </c>
      <c r="F112" s="2">
        <f t="shared" si="12"/>
        <v>-17.393324630099876</v>
      </c>
    </row>
    <row r="113" spans="1:6">
      <c r="A113" s="54">
        <v>18.03</v>
      </c>
      <c r="B113" s="49">
        <f>H2</f>
        <v>2</v>
      </c>
      <c r="C113" s="44">
        <v>0.70199999999999996</v>
      </c>
      <c r="D113" s="10">
        <v>31.5</v>
      </c>
      <c r="E113">
        <v>133.4</v>
      </c>
      <c r="F113" s="2">
        <f t="shared" si="12"/>
        <v>-9.0938576706835192</v>
      </c>
    </row>
    <row r="114" spans="1:6">
      <c r="A114" s="54">
        <v>19.029</v>
      </c>
      <c r="B114" s="49">
        <f>H2</f>
        <v>2</v>
      </c>
      <c r="C114" s="2">
        <v>0.94</v>
      </c>
      <c r="D114" s="10">
        <v>34.1</v>
      </c>
      <c r="E114">
        <v>56.2</v>
      </c>
      <c r="F114" s="2">
        <f t="shared" si="12"/>
        <v>-6.5580428412856504</v>
      </c>
    </row>
    <row r="115" spans="1:6">
      <c r="A115" s="54">
        <v>20.032</v>
      </c>
      <c r="B115" s="49">
        <f>H2</f>
        <v>2</v>
      </c>
      <c r="C115" s="2">
        <v>0.89</v>
      </c>
      <c r="D115" s="10">
        <v>33.5</v>
      </c>
      <c r="E115">
        <v>1.3</v>
      </c>
      <c r="F115" s="2">
        <f t="shared" si="12"/>
        <v>-7.0327997803813673</v>
      </c>
    </row>
    <row r="116" spans="1:6">
      <c r="A116" s="54">
        <v>21.003</v>
      </c>
      <c r="B116" s="49">
        <f>H2</f>
        <v>2</v>
      </c>
      <c r="C116" s="44">
        <v>0.86099999999999999</v>
      </c>
      <c r="D116" s="10">
        <v>33.1</v>
      </c>
      <c r="E116">
        <v>-47.8</v>
      </c>
      <c r="F116" s="2">
        <f t="shared" si="12"/>
        <v>-7.3205368842065273</v>
      </c>
    </row>
    <row r="117" spans="1:6">
      <c r="A117" s="54">
        <v>22.035</v>
      </c>
      <c r="B117" s="49">
        <f>H2</f>
        <v>2</v>
      </c>
      <c r="C117" s="44">
        <v>0.73</v>
      </c>
      <c r="D117" s="10">
        <v>31.8</v>
      </c>
      <c r="E117">
        <v>-103.7</v>
      </c>
      <c r="F117" s="2">
        <f t="shared" si="12"/>
        <v>-8.7541427108705054</v>
      </c>
    </row>
    <row r="118" spans="1:6">
      <c r="A118" s="54">
        <v>23.088000000000001</v>
      </c>
      <c r="B118" s="49">
        <f>H2</f>
        <v>2</v>
      </c>
      <c r="C118" s="44">
        <v>0.442</v>
      </c>
      <c r="D118" s="10">
        <v>27.2</v>
      </c>
      <c r="E118">
        <v>-155.9</v>
      </c>
      <c r="F118" s="2">
        <f t="shared" si="12"/>
        <v>-13.112154526297783</v>
      </c>
    </row>
    <row r="119" spans="1:6">
      <c r="A119" s="54">
        <v>24.094999999999999</v>
      </c>
      <c r="B119" s="49">
        <f>H2</f>
        <v>2</v>
      </c>
      <c r="C119" s="44">
        <v>0.24199999999999999</v>
      </c>
      <c r="D119" s="10">
        <v>22</v>
      </c>
      <c r="E119">
        <v>-186</v>
      </c>
      <c r="F119" s="2">
        <f t="shared" si="12"/>
        <v>-18.344292593670996</v>
      </c>
    </row>
    <row r="120" spans="1:6">
      <c r="A120" s="54">
        <v>25.01</v>
      </c>
      <c r="B120" s="49">
        <f>H2</f>
        <v>2</v>
      </c>
      <c r="C120" s="2">
        <v>0.15</v>
      </c>
      <c r="D120" s="10">
        <v>17.2</v>
      </c>
      <c r="E120">
        <v>-204.2</v>
      </c>
      <c r="F120" s="2">
        <f t="shared" si="12"/>
        <v>-22.498774732165998</v>
      </c>
    </row>
    <row r="121" spans="1:6">
      <c r="A121" s="54">
        <v>26.042000000000002</v>
      </c>
      <c r="B121" s="49">
        <f>H2</f>
        <v>2</v>
      </c>
      <c r="C121" s="2">
        <v>0.1</v>
      </c>
      <c r="D121" s="10">
        <v>13</v>
      </c>
      <c r="E121">
        <v>-218</v>
      </c>
      <c r="F121" s="2">
        <f t="shared" si="12"/>
        <v>-26.020599913279622</v>
      </c>
    </row>
    <row r="122" spans="1:6">
      <c r="A122" s="54">
        <v>27.09</v>
      </c>
      <c r="B122" s="49">
        <f>H2</f>
        <v>2</v>
      </c>
      <c r="C122" s="2">
        <v>5.5E-2</v>
      </c>
      <c r="D122" s="10">
        <v>9</v>
      </c>
      <c r="E122">
        <v>-227.5</v>
      </c>
      <c r="F122" s="2">
        <f t="shared" si="12"/>
        <v>-31.213346123394743</v>
      </c>
    </row>
    <row r="123" spans="1:6">
      <c r="A123" s="54">
        <v>28.042000000000002</v>
      </c>
      <c r="B123" s="49">
        <f>H2</f>
        <v>2</v>
      </c>
      <c r="C123" s="2">
        <v>3.9E-2</v>
      </c>
      <c r="D123" s="10">
        <v>6</v>
      </c>
      <c r="E123">
        <v>-233.8</v>
      </c>
      <c r="F123" s="2">
        <f t="shared" si="12"/>
        <v>-34.199307772749634</v>
      </c>
    </row>
    <row r="124" spans="1:6">
      <c r="A124" s="54">
        <v>29.01</v>
      </c>
      <c r="B124" s="49">
        <f>H2</f>
        <v>2</v>
      </c>
      <c r="C124" s="2">
        <v>2.8000000000000001E-2</v>
      </c>
      <c r="D124" s="10">
        <v>3.3</v>
      </c>
      <c r="E124">
        <v>-239.2</v>
      </c>
      <c r="F124" s="2">
        <f t="shared" si="12"/>
        <v>-37.077439286435244</v>
      </c>
    </row>
    <row r="125" spans="1:6">
      <c r="A125" s="54">
        <v>30.006</v>
      </c>
      <c r="B125" s="49">
        <f>H2</f>
        <v>2</v>
      </c>
      <c r="C125" s="2">
        <v>2.1999999999999999E-2</v>
      </c>
      <c r="D125" s="10">
        <v>0.9</v>
      </c>
      <c r="E125">
        <v>-243.3</v>
      </c>
      <c r="F125" s="2">
        <f t="shared" si="12"/>
        <v>-39.172146296835493</v>
      </c>
    </row>
    <row r="126" spans="1:6">
      <c r="A126" s="54">
        <v>32</v>
      </c>
      <c r="B126" s="49">
        <f>H2</f>
        <v>2</v>
      </c>
      <c r="C126" s="2">
        <v>1.4E-2</v>
      </c>
      <c r="D126" s="10">
        <v>0</v>
      </c>
      <c r="E126">
        <v>-250.1</v>
      </c>
      <c r="F126" s="2">
        <f t="shared" si="12"/>
        <v>-43.098039199714854</v>
      </c>
    </row>
    <row r="127" spans="1:6">
      <c r="A127" s="54">
        <v>34.121000000000002</v>
      </c>
      <c r="B127" s="49">
        <f>H2</f>
        <v>2</v>
      </c>
      <c r="C127" s="2">
        <v>8.0000000000000002E-3</v>
      </c>
      <c r="D127" s="10">
        <v>0</v>
      </c>
      <c r="E127">
        <v>-255.5</v>
      </c>
      <c r="F127" s="2">
        <f t="shared" si="12"/>
        <v>-47.958800173440743</v>
      </c>
    </row>
    <row r="128" spans="1:6">
      <c r="A128" s="54">
        <v>36.015000000000001</v>
      </c>
      <c r="B128" s="49">
        <f>H2</f>
        <v>2</v>
      </c>
      <c r="C128" s="2">
        <v>5.5999999999999999E-3</v>
      </c>
      <c r="D128" s="10">
        <v>0</v>
      </c>
      <c r="E128">
        <v>-259.2</v>
      </c>
      <c r="F128" s="2">
        <f t="shared" si="12"/>
        <v>-51.056839373155611</v>
      </c>
    </row>
    <row r="129" spans="1:6">
      <c r="A129" s="54">
        <v>38.140999999999998</v>
      </c>
      <c r="B129" s="49">
        <f>H2</f>
        <v>2</v>
      </c>
      <c r="C129" s="2">
        <v>4.0000000000000001E-3</v>
      </c>
      <c r="D129" s="10">
        <v>0</v>
      </c>
      <c r="E129">
        <v>-262.8</v>
      </c>
      <c r="F129" s="2">
        <f t="shared" si="12"/>
        <v>-53.979400086720368</v>
      </c>
    </row>
    <row r="130" spans="1:6">
      <c r="A130" s="37">
        <v>40.070999999999998</v>
      </c>
      <c r="B130" s="50">
        <f>H2</f>
        <v>2</v>
      </c>
      <c r="C130" s="5">
        <v>3.0000000000000001E-3</v>
      </c>
      <c r="D130" s="11">
        <v>0</v>
      </c>
      <c r="E130" s="4">
        <v>-265.89999999999998</v>
      </c>
      <c r="F130" s="5">
        <f t="shared" si="12"/>
        <v>-56.478174818886366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1448-BD76-E344-A91B-E398D4CE740D}">
  <dimension ref="A1:X514"/>
  <sheetViews>
    <sheetView workbookViewId="0">
      <selection activeCell="O6" sqref="O6"/>
    </sheetView>
  </sheetViews>
  <sheetFormatPr baseColWidth="10" defaultColWidth="8.7109375" defaultRowHeight="20"/>
  <cols>
    <col min="1" max="1" width="15.7109375" bestFit="1" customWidth="1"/>
    <col min="2" max="2" width="12.42578125" bestFit="1" customWidth="1"/>
    <col min="3" max="5" width="13.28515625" bestFit="1" customWidth="1"/>
    <col min="6" max="6" width="12.42578125" bestFit="1" customWidth="1"/>
    <col min="7" max="8" width="13.28515625" bestFit="1" customWidth="1"/>
    <col min="11" max="11" width="12.42578125" bestFit="1" customWidth="1"/>
    <col min="12" max="12" width="13.28515625" bestFit="1" customWidth="1"/>
    <col min="14" max="14" width="17.85546875" bestFit="1" customWidth="1"/>
    <col min="15" max="15" width="13.28515625" bestFit="1" customWidth="1"/>
    <col min="17" max="17" width="14.7109375" bestFit="1" customWidth="1"/>
    <col min="18" max="18" width="13.28515625" bestFit="1" customWidth="1"/>
    <col min="20" max="20" width="17.85546875" bestFit="1" customWidth="1"/>
    <col min="21" max="21" width="13.28515625" bestFit="1" customWidth="1"/>
    <col min="23" max="23" width="15" bestFit="1" customWidth="1"/>
    <col min="24" max="24" width="4.28515625" bestFit="1" customWidth="1"/>
  </cols>
  <sheetData>
    <row r="1" spans="1:24">
      <c r="A1" t="s">
        <v>76</v>
      </c>
      <c r="K1" t="s">
        <v>77</v>
      </c>
      <c r="N1" t="s">
        <v>78</v>
      </c>
      <c r="Q1" t="s">
        <v>79</v>
      </c>
      <c r="T1" t="s">
        <v>80</v>
      </c>
      <c r="W1" t="s">
        <v>81</v>
      </c>
    </row>
    <row r="2" spans="1:24">
      <c r="A2" t="s">
        <v>82</v>
      </c>
      <c r="B2">
        <v>1</v>
      </c>
      <c r="C2">
        <v>29431.072421391</v>
      </c>
      <c r="D2">
        <v>1666794562.0727501</v>
      </c>
      <c r="E2">
        <v>30212394237858.102</v>
      </c>
      <c r="F2" s="47">
        <v>5.6549303994477402E+17</v>
      </c>
      <c r="G2" s="47">
        <v>3.7587378996526302E+21</v>
      </c>
      <c r="K2" t="s">
        <v>83</v>
      </c>
      <c r="L2" t="s">
        <v>84</v>
      </c>
      <c r="N2" t="s">
        <v>83</v>
      </c>
      <c r="O2" t="s">
        <v>84</v>
      </c>
      <c r="Q2" t="s">
        <v>85</v>
      </c>
      <c r="R2" t="s">
        <v>86</v>
      </c>
      <c r="T2" t="s">
        <v>83</v>
      </c>
      <c r="U2" t="s">
        <v>84</v>
      </c>
      <c r="W2" t="s">
        <v>85</v>
      </c>
      <c r="X2" t="s">
        <v>86</v>
      </c>
    </row>
    <row r="3" spans="1:24">
      <c r="A3" t="s">
        <v>87</v>
      </c>
      <c r="B3">
        <v>0</v>
      </c>
      <c r="C3">
        <v>0</v>
      </c>
      <c r="D3">
        <v>0</v>
      </c>
      <c r="E3">
        <v>0</v>
      </c>
      <c r="F3">
        <v>0</v>
      </c>
      <c r="G3" s="47">
        <v>3.7587378996526302E+21</v>
      </c>
      <c r="K3">
        <v>15.9154943091895</v>
      </c>
      <c r="L3">
        <v>-2.8480644099433401E-4</v>
      </c>
      <c r="N3">
        <v>1.5915494309189501E-3</v>
      </c>
      <c r="O3">
        <v>-389.56710403743398</v>
      </c>
      <c r="Q3" s="47">
        <v>3.4190765562010201E-7</v>
      </c>
      <c r="R3" s="47">
        <v>0</v>
      </c>
      <c r="T3">
        <v>0</v>
      </c>
      <c r="U3" t="e" cm="1">
        <f t="array" ref="U3">-Inf</f>
        <v>#NAME?</v>
      </c>
      <c r="W3">
        <v>2.19606211225361E-4</v>
      </c>
      <c r="X3">
        <v>0</v>
      </c>
    </row>
    <row r="4" spans="1:24">
      <c r="K4">
        <v>16.501848469193099</v>
      </c>
      <c r="L4">
        <v>-3.06175913992825E-4</v>
      </c>
      <c r="N4">
        <v>1.7362332991878E-3</v>
      </c>
      <c r="O4">
        <v>-387.29982705846697</v>
      </c>
      <c r="Q4" s="47">
        <v>3.35845088218855E-6</v>
      </c>
      <c r="R4">
        <v>1</v>
      </c>
      <c r="T4">
        <v>39.0625</v>
      </c>
      <c r="U4">
        <v>-125.28015454411199</v>
      </c>
      <c r="W4">
        <v>1.0233872372753499E-3</v>
      </c>
      <c r="X4">
        <v>1</v>
      </c>
    </row>
    <row r="5" spans="1:24">
      <c r="A5" t="s">
        <v>88</v>
      </c>
      <c r="K5">
        <v>17.109804924059301</v>
      </c>
      <c r="L5">
        <v>-3.29148560996974E-4</v>
      </c>
      <c r="N5">
        <v>1.89407002424549E-3</v>
      </c>
      <c r="O5">
        <v>-385.03255007949798</v>
      </c>
      <c r="Q5" s="47">
        <v>1.6424091315014199E-5</v>
      </c>
      <c r="R5">
        <v>2</v>
      </c>
      <c r="T5">
        <v>78.125</v>
      </c>
      <c r="U5">
        <v>-107.101412181572</v>
      </c>
      <c r="W5">
        <v>1.9155367587945101E-3</v>
      </c>
      <c r="X5">
        <v>2</v>
      </c>
    </row>
    <row r="6" spans="1:24">
      <c r="A6" t="s">
        <v>82</v>
      </c>
      <c r="B6">
        <v>1</v>
      </c>
      <c r="C6">
        <v>2513.2741228718301</v>
      </c>
      <c r="D6">
        <v>120409173.69329</v>
      </c>
      <c r="E6">
        <v>198440170753.91901</v>
      </c>
      <c r="F6" s="47">
        <v>4706028006034730</v>
      </c>
      <c r="G6" s="47">
        <v>3.8391026311430999E+18</v>
      </c>
      <c r="H6" s="47">
        <v>5.9701438280763198E+22</v>
      </c>
      <c r="K6">
        <v>17.740159539453099</v>
      </c>
      <c r="L6">
        <v>-3.5384462197908599E-4</v>
      </c>
      <c r="N6">
        <v>2.0662553001509301E-3</v>
      </c>
      <c r="O6">
        <v>-382.76527310052597</v>
      </c>
      <c r="Q6" s="47">
        <v>5.4375264634317003E-5</v>
      </c>
      <c r="R6">
        <v>3</v>
      </c>
      <c r="T6">
        <v>117.1875</v>
      </c>
      <c r="U6">
        <v>-96.339781430482901</v>
      </c>
      <c r="W6">
        <v>1.4029467136479001E-3</v>
      </c>
      <c r="X6">
        <v>3</v>
      </c>
    </row>
    <row r="7" spans="1:24">
      <c r="A7" t="s">
        <v>87</v>
      </c>
      <c r="B7">
        <v>0</v>
      </c>
      <c r="C7">
        <v>0</v>
      </c>
      <c r="D7">
        <v>0</v>
      </c>
      <c r="E7">
        <v>1984401707.5392001</v>
      </c>
      <c r="F7">
        <v>0</v>
      </c>
      <c r="G7">
        <v>0</v>
      </c>
      <c r="H7">
        <v>0</v>
      </c>
      <c r="K7">
        <v>18.393737502097899</v>
      </c>
      <c r="L7">
        <v>-3.80393349938586E-4</v>
      </c>
      <c r="N7">
        <v>2.25409351858705E-3</v>
      </c>
      <c r="O7">
        <v>-380.49799612155101</v>
      </c>
      <c r="Q7">
        <v>1.3955851278125899E-4</v>
      </c>
      <c r="R7">
        <v>4</v>
      </c>
      <c r="T7">
        <v>156.25</v>
      </c>
      <c r="U7">
        <v>-88.566171862755397</v>
      </c>
      <c r="W7">
        <v>-1.36421976850763E-3</v>
      </c>
      <c r="X7">
        <v>4</v>
      </c>
    </row>
    <row r="8" spans="1:24">
      <c r="K8">
        <v>19.0713944000141</v>
      </c>
      <c r="L8">
        <v>-4.0893368570886198E-4</v>
      </c>
      <c r="N8">
        <v>2.4590076502961902E-3</v>
      </c>
      <c r="O8">
        <v>-378.23071914257099</v>
      </c>
      <c r="Q8">
        <v>3.0013977643580199E-4</v>
      </c>
      <c r="R8">
        <v>5</v>
      </c>
      <c r="T8">
        <v>195.3125</v>
      </c>
      <c r="U8">
        <v>-82.390385449433296</v>
      </c>
      <c r="W8">
        <v>-5.3318239283913597E-3</v>
      </c>
      <c r="X8">
        <v>5</v>
      </c>
    </row>
    <row r="9" spans="1:24">
      <c r="A9" t="s">
        <v>89</v>
      </c>
      <c r="K9">
        <v>19.774017342555101</v>
      </c>
      <c r="L9">
        <v>-4.3961498316255501E-4</v>
      </c>
      <c r="N9">
        <v>2.6825500248124001E-3</v>
      </c>
      <c r="O9">
        <v>-375.96344216358699</v>
      </c>
      <c r="Q9">
        <v>5.6797285855130495E-4</v>
      </c>
      <c r="R9">
        <v>6</v>
      </c>
      <c r="T9">
        <v>234.375</v>
      </c>
      <c r="U9">
        <v>-77.190709720026405</v>
      </c>
      <c r="W9">
        <v>-7.8998619270987305E-3</v>
      </c>
      <c r="X9">
        <v>6</v>
      </c>
    </row>
    <row r="10" spans="1:24">
      <c r="A10" t="s">
        <v>82</v>
      </c>
      <c r="B10">
        <v>1</v>
      </c>
      <c r="C10">
        <v>-4.8226840697599496</v>
      </c>
      <c r="D10">
        <v>9.3350726645769999</v>
      </c>
      <c r="E10">
        <v>-9.0649258874768393</v>
      </c>
      <c r="F10">
        <v>4.4157259464430103</v>
      </c>
      <c r="G10">
        <v>-0.86317771273824095</v>
      </c>
      <c r="K10">
        <v>20.502526121707099</v>
      </c>
      <c r="L10">
        <v>-4.7259778857010201E-4</v>
      </c>
      <c r="N10">
        <v>2.9264140901530799E-3</v>
      </c>
      <c r="O10">
        <v>-373.696165184596</v>
      </c>
      <c r="Q10">
        <v>9.7648525244653397E-4</v>
      </c>
      <c r="R10">
        <v>7</v>
      </c>
      <c r="T10">
        <v>273.4375</v>
      </c>
      <c r="U10">
        <v>-72.632696246861698</v>
      </c>
      <c r="W10">
        <v>-6.4666843820918203E-3</v>
      </c>
      <c r="X10">
        <v>7</v>
      </c>
    </row>
    <row r="11" spans="1:24">
      <c r="A11" t="s">
        <v>87</v>
      </c>
      <c r="B11" s="47">
        <v>3.4190765562010201E-7</v>
      </c>
      <c r="C11" s="47">
        <v>1.70953827810051E-6</v>
      </c>
      <c r="D11" s="47">
        <v>3.4190765562010201E-6</v>
      </c>
      <c r="E11" s="47">
        <v>3.4190765562010201E-6</v>
      </c>
      <c r="F11" s="47">
        <v>1.70953827810051E-6</v>
      </c>
      <c r="G11" s="47">
        <v>3.4190765562010201E-7</v>
      </c>
      <c r="K11">
        <v>21.257874416174001</v>
      </c>
      <c r="L11">
        <v>-5.0805467810128896E-4</v>
      </c>
      <c r="N11">
        <v>3.1924472415553302E-3</v>
      </c>
      <c r="O11">
        <v>-371.42888820559898</v>
      </c>
      <c r="Q11">
        <v>1.55864016514128E-3</v>
      </c>
      <c r="R11">
        <v>8</v>
      </c>
      <c r="T11">
        <v>312.5</v>
      </c>
      <c r="U11">
        <v>-68.513526673377001</v>
      </c>
      <c r="W11">
        <v>-2.5979922761161202E-4</v>
      </c>
      <c r="X11">
        <v>8</v>
      </c>
    </row>
    <row r="12" spans="1:24">
      <c r="K12">
        <v>22.041051039821799</v>
      </c>
      <c r="L12">
        <v>-5.4617115782691205E-4</v>
      </c>
      <c r="N12">
        <v>3.4826648164412999E-3</v>
      </c>
      <c r="O12">
        <v>-369.161611226594</v>
      </c>
      <c r="Q12">
        <v>2.3450289757930998E-3</v>
      </c>
      <c r="R12">
        <v>9</v>
      </c>
      <c r="T12">
        <v>351.5625</v>
      </c>
      <c r="U12">
        <v>-64.698743749436204</v>
      </c>
      <c r="W12">
        <v>8.6783204080465304E-3</v>
      </c>
      <c r="X12">
        <v>9</v>
      </c>
    </row>
    <row r="13" spans="1:24">
      <c r="A13" t="s">
        <v>90</v>
      </c>
      <c r="K13">
        <v>22.853081236118499</v>
      </c>
      <c r="L13">
        <v>-5.8714663082374402E-4</v>
      </c>
      <c r="N13">
        <v>3.7992653616317901E-3</v>
      </c>
      <c r="O13">
        <v>-366.89433424757902</v>
      </c>
      <c r="Q13">
        <v>3.3621426061479099E-3</v>
      </c>
      <c r="R13">
        <v>10</v>
      </c>
      <c r="T13">
        <v>390.625</v>
      </c>
      <c r="U13">
        <v>-61.092338877174797</v>
      </c>
      <c r="W13">
        <v>1.6064202057387698E-2</v>
      </c>
      <c r="X13">
        <v>10</v>
      </c>
    </row>
    <row r="14" spans="1:24">
      <c r="A14" t="s">
        <v>82</v>
      </c>
      <c r="B14">
        <v>1</v>
      </c>
      <c r="C14">
        <v>-4.6601015133636201</v>
      </c>
      <c r="D14">
        <v>9.9939478417623206</v>
      </c>
      <c r="E14">
        <v>-12.3130835929146</v>
      </c>
      <c r="F14">
        <v>9.1900435715558793</v>
      </c>
      <c r="G14">
        <v>-3.9405261824306801</v>
      </c>
      <c r="H14">
        <v>0.77763856023807998</v>
      </c>
      <c r="K14">
        <v>23.695028020263301</v>
      </c>
      <c r="L14">
        <v>-6.3119543634334999E-4</v>
      </c>
      <c r="N14">
        <v>4.1446472884647803E-3</v>
      </c>
      <c r="O14">
        <v>-364.62705726855302</v>
      </c>
      <c r="Q14">
        <v>4.6308635270085599E-3</v>
      </c>
      <c r="R14">
        <v>11</v>
      </c>
      <c r="T14">
        <v>429.6875</v>
      </c>
      <c r="U14">
        <v>-57.620903111955101</v>
      </c>
      <c r="W14">
        <v>1.73769315562575E-2</v>
      </c>
      <c r="X14">
        <v>11</v>
      </c>
    </row>
    <row r="15" spans="1:24">
      <c r="A15" t="s">
        <v>87</v>
      </c>
      <c r="B15">
        <v>2.19606211225361E-4</v>
      </c>
      <c r="C15">
        <v>0</v>
      </c>
      <c r="D15">
        <v>-6.5881863367608299E-4</v>
      </c>
      <c r="E15">
        <v>0</v>
      </c>
      <c r="F15">
        <v>6.5881863367608299E-4</v>
      </c>
      <c r="G15">
        <v>0</v>
      </c>
      <c r="H15">
        <v>-2.19606211225361E-4</v>
      </c>
      <c r="K15">
        <v>24.567993570761999</v>
      </c>
      <c r="L15">
        <v>-6.7854796642280305E-4</v>
      </c>
      <c r="N15">
        <v>4.5214270419901498E-3</v>
      </c>
      <c r="O15">
        <v>-362.35978028951303</v>
      </c>
      <c r="Q15">
        <v>6.1652125817724997E-3</v>
      </c>
      <c r="R15">
        <v>12</v>
      </c>
      <c r="T15">
        <v>468.75</v>
      </c>
      <c r="U15">
        <v>-54.224349222923401</v>
      </c>
      <c r="W15">
        <v>1.03390165477685E-2</v>
      </c>
      <c r="X15">
        <v>12</v>
      </c>
    </row>
    <row r="16" spans="1:24">
      <c r="K16">
        <v>25.473120672270799</v>
      </c>
      <c r="L16">
        <v>-7.2945186559925297E-4</v>
      </c>
      <c r="N16">
        <v>4.9324589218814304E-3</v>
      </c>
      <c r="O16">
        <v>-360.09250331045598</v>
      </c>
      <c r="Q16">
        <v>7.9713766874510792E-3</v>
      </c>
      <c r="R16">
        <v>13</v>
      </c>
      <c r="T16">
        <v>507.8125</v>
      </c>
      <c r="U16">
        <v>-50.849881628477497</v>
      </c>
      <c r="W16">
        <v>-3.4325633801237198E-3</v>
      </c>
      <c r="X16">
        <v>13</v>
      </c>
    </row>
    <row r="17" spans="11:24">
      <c r="K17">
        <v>26.411594211596199</v>
      </c>
      <c r="L17">
        <v>-7.8417331990521103E-4</v>
      </c>
      <c r="N17">
        <v>5.38085670521823E-3</v>
      </c>
      <c r="O17">
        <v>-357.82522633138001</v>
      </c>
      <c r="Q17">
        <v>1.00470349945888E-2</v>
      </c>
      <c r="R17">
        <v>14</v>
      </c>
      <c r="T17">
        <v>546.875</v>
      </c>
      <c r="U17">
        <v>-47.447541426553698</v>
      </c>
      <c r="W17">
        <v>-1.8591613240324201E-2</v>
      </c>
      <c r="X17">
        <v>14</v>
      </c>
    </row>
    <row r="18" spans="11:24">
      <c r="K18">
        <v>27.3846427288108</v>
      </c>
      <c r="L18">
        <v>-8.4299844171631399E-4</v>
      </c>
      <c r="N18">
        <v>5.8700172349429296E-3</v>
      </c>
      <c r="O18">
        <v>-355.55794935228101</v>
      </c>
      <c r="Q18">
        <v>1.2380992470987E-2</v>
      </c>
      <c r="R18">
        <v>15</v>
      </c>
      <c r="T18">
        <v>585.9375</v>
      </c>
      <c r="U18">
        <v>-43.966334439008797</v>
      </c>
      <c r="W18">
        <v>-2.8170716513760501E-2</v>
      </c>
      <c r="X18">
        <v>15</v>
      </c>
    </row>
    <row r="19" spans="11:24">
      <c r="K19">
        <v>28.393540025514799</v>
      </c>
      <c r="L19">
        <v>-9.0623475749903801E-4</v>
      </c>
      <c r="N19">
        <v>6.4036461526863096E-3</v>
      </c>
      <c r="O19">
        <v>-353.29067237315502</v>
      </c>
      <c r="Q19">
        <v>1.4953121337093599E-2</v>
      </c>
      <c r="R19">
        <v>16</v>
      </c>
      <c r="T19">
        <v>625</v>
      </c>
      <c r="U19">
        <v>-40.350183877358702</v>
      </c>
      <c r="W19">
        <v>-2.6774127230308E-2</v>
      </c>
      <c r="X19">
        <v>16</v>
      </c>
    </row>
    <row r="20" spans="11:24">
      <c r="K20">
        <v>29.439606832348101</v>
      </c>
      <c r="L20">
        <v>-9.7421280601692705E-4</v>
      </c>
      <c r="N20">
        <v>6.9857859709014604E-3</v>
      </c>
      <c r="O20">
        <v>-351.02339539399497</v>
      </c>
      <c r="Q20">
        <v>1.7734602531408902E-2</v>
      </c>
      <c r="R20">
        <v>17</v>
      </c>
      <c r="T20">
        <v>664.0625</v>
      </c>
      <c r="U20">
        <v>-36.532901487870198</v>
      </c>
      <c r="W20">
        <v>-1.33799668808352E-2</v>
      </c>
      <c r="X20">
        <v>17</v>
      </c>
    </row>
    <row r="21" spans="11:24">
      <c r="K21">
        <v>30.5242125379371</v>
      </c>
      <c r="L21">
        <v>-1.04728785513542E-3</v>
      </c>
      <c r="N21">
        <v>7.6208466969668104E-3</v>
      </c>
      <c r="O21">
        <v>-348.75611841479702</v>
      </c>
      <c r="Q21">
        <v>2.0688451616673102E-2</v>
      </c>
      <c r="R21">
        <v>18</v>
      </c>
      <c r="T21">
        <v>703.125</v>
      </c>
      <c r="U21">
        <v>-32.431046698646398</v>
      </c>
      <c r="W21">
        <v>7.6504517614192002E-3</v>
      </c>
      <c r="X21">
        <v>18</v>
      </c>
    </row>
    <row r="22" spans="11:24">
      <c r="K22">
        <v>31.648776981538301</v>
      </c>
      <c r="L22">
        <v>-1.1258417458746299E-3</v>
      </c>
      <c r="N22">
        <v>8.3136392412514106E-3</v>
      </c>
      <c r="O22">
        <v>-346.48884143555199</v>
      </c>
      <c r="Q22">
        <v>2.3770306428414701E-2</v>
      </c>
      <c r="R22">
        <v>19</v>
      </c>
      <c r="T22">
        <v>742.1875</v>
      </c>
      <c r="U22">
        <v>-27.932891409525499</v>
      </c>
      <c r="W22">
        <v>2.7997173349898E-2</v>
      </c>
      <c r="X22">
        <v>19</v>
      </c>
    </row>
    <row r="23" spans="11:24">
      <c r="K23">
        <v>32.814772311726301</v>
      </c>
      <c r="L23">
        <v>-1.21028487303655E-3</v>
      </c>
      <c r="N23">
        <v>9.0694118622258301E-3</v>
      </c>
      <c r="O23">
        <v>-344.221564456252</v>
      </c>
      <c r="Q23">
        <v>2.6929447471501399E-2</v>
      </c>
      <c r="R23">
        <v>20</v>
      </c>
      <c r="T23">
        <v>781.25</v>
      </c>
      <c r="U23">
        <v>-22.881209768987301</v>
      </c>
      <c r="W23">
        <v>3.8768308543383298E-2</v>
      </c>
      <c r="X23">
        <v>20</v>
      </c>
    </row>
    <row r="24" spans="11:24">
      <c r="K24">
        <v>34.0237249135591</v>
      </c>
      <c r="L24">
        <v>-1.30105831237154E-3</v>
      </c>
      <c r="N24">
        <v>9.8938899247089894E-3</v>
      </c>
      <c r="O24">
        <v>-341.95428747688698</v>
      </c>
      <c r="Q24">
        <v>3.0110016717779998E-2</v>
      </c>
      <c r="R24">
        <v>21</v>
      </c>
      <c r="T24">
        <v>820.3125</v>
      </c>
      <c r="U24">
        <v>-17.0539547809136</v>
      </c>
      <c r="W24">
        <v>3.44275798885516E-2</v>
      </c>
      <c r="X24">
        <v>21</v>
      </c>
    </row>
    <row r="25" spans="11:24">
      <c r="K25">
        <v>35.277217406743098</v>
      </c>
      <c r="L25">
        <v>-1.3986361049540699E-3</v>
      </c>
      <c r="N25">
        <v>1.079331927244E-2</v>
      </c>
      <c r="O25">
        <v>-339.687010497443</v>
      </c>
      <c r="Q25">
        <v>3.3252396151771099E-2</v>
      </c>
      <c r="R25">
        <v>22</v>
      </c>
      <c r="T25">
        <v>859.375</v>
      </c>
      <c r="U25">
        <v>-10.232322105057801</v>
      </c>
      <c r="W25">
        <v>1.550759837427E-2</v>
      </c>
      <c r="X25">
        <v>22</v>
      </c>
    </row>
    <row r="26" spans="11:24">
      <c r="K26">
        <v>36.576890717414301</v>
      </c>
      <c r="L26">
        <v>-1.50352771019312E-3</v>
      </c>
      <c r="N26">
        <v>1.17745135435445E-2</v>
      </c>
      <c r="O26">
        <v>-337.41973351790602</v>
      </c>
      <c r="Q26">
        <v>3.62947042259733E-2</v>
      </c>
      <c r="R26">
        <v>23</v>
      </c>
      <c r="T26">
        <v>898.4375</v>
      </c>
      <c r="U26">
        <v>-3.2377193585239898</v>
      </c>
      <c r="W26">
        <v>-1.11866905325608E-2</v>
      </c>
      <c r="X26">
        <v>23</v>
      </c>
    </row>
    <row r="27" spans="11:24">
      <c r="K27">
        <v>37.924446226247397</v>
      </c>
      <c r="L27">
        <v>-1.6162806396852101E-3</v>
      </c>
      <c r="N27">
        <v>1.28449057873345E-2</v>
      </c>
      <c r="O27">
        <v>-335.15245653825798</v>
      </c>
      <c r="Q27">
        <v>3.9174366367215101E-2</v>
      </c>
      <c r="R27">
        <v>24</v>
      </c>
      <c r="T27">
        <v>937.5</v>
      </c>
      <c r="U27">
        <v>-0.191533556737597</v>
      </c>
      <c r="W27">
        <v>-3.5111710097102997E-2</v>
      </c>
      <c r="X27">
        <v>24</v>
      </c>
    </row>
    <row r="28" spans="11:24">
      <c r="K28">
        <v>39.3216479957049</v>
      </c>
      <c r="L28">
        <v>-1.73748328501117E-3</v>
      </c>
      <c r="N28">
        <v>1.4012604773464899E-2</v>
      </c>
      <c r="O28">
        <v>-332.885179558478</v>
      </c>
      <c r="Q28">
        <v>4.1829714835363303E-2</v>
      </c>
      <c r="R28">
        <v>25</v>
      </c>
      <c r="T28">
        <v>976.5625</v>
      </c>
      <c r="U28">
        <v>-2.1995709353100001E-4</v>
      </c>
      <c r="W28">
        <v>-4.62736824980194E-2</v>
      </c>
      <c r="X28">
        <v>25</v>
      </c>
    </row>
    <row r="29" spans="11:24">
      <c r="K29">
        <v>40.770325079341802</v>
      </c>
      <c r="L29">
        <v>-1.86776795341062E-3</v>
      </c>
      <c r="N29">
        <v>1.5286456420018401E-2</v>
      </c>
      <c r="O29">
        <v>-330.61790257854199</v>
      </c>
      <c r="Q29">
        <v>4.42015735609207E-2</v>
      </c>
      <c r="R29">
        <v>26</v>
      </c>
      <c r="T29">
        <v>1015.625</v>
      </c>
      <c r="U29">
        <v>-2.5921804671498602E-4</v>
      </c>
      <c r="W29">
        <v>-3.9478570587599397E-2</v>
      </c>
      <c r="X29">
        <v>26</v>
      </c>
    </row>
    <row r="30" spans="11:24">
      <c r="K30">
        <v>42.272373916189203</v>
      </c>
      <c r="L30">
        <v>-2.00781412630825E-3</v>
      </c>
      <c r="N30">
        <v>1.66761108058671E-2</v>
      </c>
      <c r="O30">
        <v>-328.35062559841901</v>
      </c>
      <c r="Q30">
        <v>4.6234785035840602E-2</v>
      </c>
      <c r="R30">
        <v>27</v>
      </c>
      <c r="T30">
        <v>1054.6875</v>
      </c>
      <c r="U30">
        <v>-0.154745413371049</v>
      </c>
      <c r="W30">
        <v>-1.67087415458783E-2</v>
      </c>
      <c r="X30">
        <v>27</v>
      </c>
    </row>
    <row r="31" spans="11:24">
      <c r="K31">
        <v>43.829760813350802</v>
      </c>
      <c r="L31">
        <v>-2.1583519566034598E-3</v>
      </c>
      <c r="N31">
        <v>1.81920952749638E-2</v>
      </c>
      <c r="O31">
        <v>-326.08334861807299</v>
      </c>
      <c r="Q31">
        <v>4.7879638833253399E-2</v>
      </c>
      <c r="R31">
        <v>28</v>
      </c>
      <c r="T31">
        <v>1093.75</v>
      </c>
      <c r="U31">
        <v>-2.3036220909625</v>
      </c>
      <c r="W31">
        <v>1.3448015058744E-2</v>
      </c>
      <c r="X31">
        <v>28</v>
      </c>
    </row>
    <row r="32" spans="11:24">
      <c r="K32">
        <v>45.444524520063197</v>
      </c>
      <c r="L32">
        <v>-2.3201660218012498E-3</v>
      </c>
      <c r="N32">
        <v>1.9845894186366501E-2</v>
      </c>
      <c r="O32">
        <v>-323.81607163746298</v>
      </c>
      <c r="Q32">
        <v>4.9093164793920202E-2</v>
      </c>
      <c r="R32">
        <v>29</v>
      </c>
      <c r="T32">
        <v>1132.8125</v>
      </c>
      <c r="U32">
        <v>-7.6483750089820202</v>
      </c>
      <c r="W32">
        <v>3.9150214409255202E-2</v>
      </c>
      <c r="X32">
        <v>29</v>
      </c>
    </row>
    <row r="33" spans="11:24">
      <c r="K33">
        <v>47.118778896588402</v>
      </c>
      <c r="L33">
        <v>-2.4940993510835399E-3</v>
      </c>
      <c r="N33">
        <v>2.1650035914141701E-2</v>
      </c>
      <c r="O33">
        <v>-321.54879465653801</v>
      </c>
      <c r="Q33">
        <v>4.98402582264489E-2</v>
      </c>
      <c r="R33">
        <v>30</v>
      </c>
      <c r="T33">
        <v>1171.875</v>
      </c>
      <c r="U33">
        <v>-13.2417937855005</v>
      </c>
      <c r="W33">
        <v>5.0080427047216103E-2</v>
      </c>
      <c r="X33">
        <v>30</v>
      </c>
    </row>
    <row r="34" spans="11:24">
      <c r="K34">
        <v>48.854715681432602</v>
      </c>
      <c r="L34">
        <v>-2.6810577457792601E-3</v>
      </c>
      <c r="N34">
        <v>2.3618187756217299E-2</v>
      </c>
      <c r="O34">
        <v>-319.281517675239</v>
      </c>
      <c r="Q34">
        <v>5.0094609493489699E-2</v>
      </c>
      <c r="R34">
        <v>31</v>
      </c>
      <c r="T34">
        <v>1210.9375</v>
      </c>
      <c r="U34">
        <v>-18.012102692224602</v>
      </c>
      <c r="W34">
        <v>4.1673128271595798E-2</v>
      </c>
      <c r="X34">
        <v>31</v>
      </c>
    </row>
    <row r="35" spans="11:24">
      <c r="K35">
        <v>50.654607360515399</v>
      </c>
      <c r="L35">
        <v>-2.8820144138039599E-3</v>
      </c>
      <c r="N35">
        <v>2.57652594711664E-2</v>
      </c>
      <c r="O35">
        <v>-317.014240693494</v>
      </c>
      <c r="Q35">
        <v>4.9839415952353201E-2</v>
      </c>
      <c r="R35">
        <v>32</v>
      </c>
      <c r="T35">
        <v>1250</v>
      </c>
      <c r="U35">
        <v>-22.031955497175598</v>
      </c>
      <c r="W35">
        <v>1.70306759378865E-2</v>
      </c>
      <c r="X35">
        <v>32</v>
      </c>
    </row>
    <row r="36" spans="11:24">
      <c r="K36">
        <v>52.520810142042201</v>
      </c>
      <c r="L36">
        <v>-3.0980149400903702E-3</v>
      </c>
      <c r="N36">
        <v>2.81075162272677E-2</v>
      </c>
      <c r="O36">
        <v>-314.746963711219</v>
      </c>
      <c r="Q36">
        <v>4.9067860230991099E-2</v>
      </c>
      <c r="R36">
        <v>33</v>
      </c>
      <c r="T36">
        <v>1289.0625</v>
      </c>
      <c r="U36">
        <v>-25.4774890097145</v>
      </c>
      <c r="W36">
        <v>-1.42764661333984E-2</v>
      </c>
      <c r="X36">
        <v>33</v>
      </c>
    </row>
    <row r="37" spans="11:24">
      <c r="K37">
        <v>54.455767040978103</v>
      </c>
      <c r="L37">
        <v>-3.3301826163795898E-3</v>
      </c>
      <c r="N37">
        <v>3.0662701819487999E-2</v>
      </c>
      <c r="O37">
        <v>-312.479686728312</v>
      </c>
      <c r="Q37">
        <v>4.7783345088438303E-2</v>
      </c>
      <c r="R37">
        <v>34</v>
      </c>
      <c r="T37">
        <v>1328.125</v>
      </c>
      <c r="U37">
        <v>-28.485356625617399</v>
      </c>
      <c r="W37">
        <v>-4.0035313267457101E-2</v>
      </c>
      <c r="X37">
        <v>34</v>
      </c>
    </row>
    <row r="38" spans="11:24">
      <c r="K38">
        <v>56.462011077157698</v>
      </c>
      <c r="L38">
        <v>-3.5797241552522098E-3</v>
      </c>
      <c r="N38">
        <v>3.3450173087820702E-2</v>
      </c>
      <c r="O38">
        <v>-310.212409744654</v>
      </c>
      <c r="Q38">
        <v>4.5999481470312902E-2</v>
      </c>
      <c r="R38">
        <v>35</v>
      </c>
      <c r="T38">
        <v>1367.1875</v>
      </c>
      <c r="U38">
        <v>-31.152796971702202</v>
      </c>
      <c r="W38">
        <v>-5.0269576515121601E-2</v>
      </c>
      <c r="X38">
        <v>35</v>
      </c>
    </row>
    <row r="39" spans="11:24">
      <c r="K39">
        <v>58.542168591218797</v>
      </c>
      <c r="L39">
        <v>-3.8479358147740501E-3</v>
      </c>
      <c r="N39">
        <v>3.6491046555265597E-2</v>
      </c>
      <c r="O39">
        <v>-307.94513276010201</v>
      </c>
      <c r="Q39">
        <v>4.3739832664706997E-2</v>
      </c>
      <c r="R39">
        <v>36</v>
      </c>
      <c r="T39">
        <v>1406.25</v>
      </c>
      <c r="U39">
        <v>-33.549478469602903</v>
      </c>
      <c r="W39">
        <v>-4.1180889931947601E-2</v>
      </c>
      <c r="X39">
        <v>36</v>
      </c>
    </row>
    <row r="40" spans="11:24">
      <c r="K40">
        <v>60.698962682701598</v>
      </c>
      <c r="L40">
        <v>-4.1362099617891701E-3</v>
      </c>
      <c r="N40">
        <v>3.9808358396309702E-2</v>
      </c>
      <c r="O40">
        <v>-305.67785577448598</v>
      </c>
      <c r="Q40">
        <v>4.1037423537772698E-2</v>
      </c>
      <c r="R40">
        <v>37</v>
      </c>
      <c r="T40">
        <v>1445.3125</v>
      </c>
      <c r="U40">
        <v>-35.726490693148101</v>
      </c>
      <c r="W40">
        <v>-1.6569221922877998E-2</v>
      </c>
      <c r="X40">
        <v>37</v>
      </c>
    </row>
    <row r="41" spans="11:24">
      <c r="K41">
        <v>62.9352167748131</v>
      </c>
      <c r="L41">
        <v>-4.4460421035111396E-3</v>
      </c>
      <c r="N41">
        <v>4.3427238947751502E-2</v>
      </c>
      <c r="O41">
        <v>-303.41057878760301</v>
      </c>
      <c r="Q41">
        <v>3.7934029537170497E-2</v>
      </c>
      <c r="R41">
        <v>38</v>
      </c>
      <c r="T41">
        <v>1484.375</v>
      </c>
      <c r="U41">
        <v>-37.722230546690497</v>
      </c>
      <c r="W41">
        <v>1.37976865094309E-2</v>
      </c>
      <c r="X41">
        <v>38</v>
      </c>
    </row>
    <row r="42" spans="11:24">
      <c r="K42">
        <v>65.253858310522702</v>
      </c>
      <c r="L42">
        <v>-4.7790384188587101E-3</v>
      </c>
      <c r="N42">
        <v>4.7375103083877303E-2</v>
      </c>
      <c r="O42">
        <v>-301.14330179921399</v>
      </c>
      <c r="Q42">
        <v>3.4479265363827102E-2</v>
      </c>
      <c r="R42">
        <v>39</v>
      </c>
      <c r="T42">
        <v>1523.4375</v>
      </c>
      <c r="U42">
        <v>-39.566211132282803</v>
      </c>
      <c r="W42">
        <v>3.8148148211323597E-2</v>
      </c>
      <c r="X42">
        <v>39</v>
      </c>
    </row>
    <row r="43" spans="11:24">
      <c r="K43">
        <v>67.657922584829507</v>
      </c>
      <c r="L43">
        <v>-5.1369238226718801E-3</v>
      </c>
      <c r="N43">
        <v>5.168185789818E-2</v>
      </c>
      <c r="O43">
        <v>-298.87602480903001</v>
      </c>
      <c r="Q43">
        <v>3.07294978124329E-2</v>
      </c>
      <c r="R43">
        <v>40</v>
      </c>
      <c r="T43">
        <v>1562.5</v>
      </c>
      <c r="U43">
        <v>-41.281570694132803</v>
      </c>
      <c r="W43">
        <v>4.7361263013910498E-2</v>
      </c>
      <c r="X43">
        <v>40</v>
      </c>
    </row>
    <row r="44" spans="11:24">
      <c r="K44">
        <v>70.150556718216393</v>
      </c>
      <c r="L44">
        <v>-5.52155059787637E-3</v>
      </c>
      <c r="N44">
        <v>5.6380129264914897E-2</v>
      </c>
      <c r="O44">
        <v>-296.60874781671299</v>
      </c>
      <c r="Q44">
        <v>2.6746611171153501E-2</v>
      </c>
      <c r="R44">
        <v>41</v>
      </c>
      <c r="T44">
        <v>1601.5625</v>
      </c>
      <c r="U44">
        <v>-42.886766302021002</v>
      </c>
      <c r="W44">
        <v>3.8438814871992098E-2</v>
      </c>
      <c r="X44">
        <v>41</v>
      </c>
    </row>
    <row r="45" spans="11:24">
      <c r="K45">
        <v>72.735023776493193</v>
      </c>
      <c r="L45">
        <v>-5.9349076324449104E-3</v>
      </c>
      <c r="N45">
        <v>6.1505508996812799E-2</v>
      </c>
      <c r="O45">
        <v>-294.34147082185598</v>
      </c>
      <c r="Q45">
        <v>2.259665667349E-2</v>
      </c>
      <c r="R45">
        <v>42</v>
      </c>
      <c r="T45">
        <v>1640.625</v>
      </c>
      <c r="U45">
        <v>-44.396745887566397</v>
      </c>
      <c r="W45">
        <v>1.5455179854844301E-2</v>
      </c>
      <c r="X45">
        <v>42</v>
      </c>
    </row>
    <row r="46" spans="11:24">
      <c r="K46">
        <v>75.414707042420901</v>
      </c>
      <c r="L46">
        <v>-6.37913029994979E-3</v>
      </c>
      <c r="N46">
        <v>6.7096824471296904E-2</v>
      </c>
      <c r="O46">
        <v>-292.07419382397501</v>
      </c>
      <c r="Q46">
        <v>1.8348419753750501E-2</v>
      </c>
      <c r="R46">
        <v>43</v>
      </c>
      <c r="T46">
        <v>1679.6875</v>
      </c>
      <c r="U46">
        <v>-45.823778286705</v>
      </c>
      <c r="W46">
        <v>-1.2297746751166801E-2</v>
      </c>
      <c r="X46">
        <v>43</v>
      </c>
    </row>
    <row r="47" spans="11:24">
      <c r="K47">
        <v>78.193114444711796</v>
      </c>
      <c r="L47">
        <v>-6.8565110243701804E-3</v>
      </c>
      <c r="N47">
        <v>7.3196432767759306E-2</v>
      </c>
      <c r="O47">
        <v>-289.80691682249699</v>
      </c>
      <c r="Q47">
        <v>1.40719402379396E-2</v>
      </c>
      <c r="R47">
        <v>44</v>
      </c>
      <c r="T47">
        <v>1718.75</v>
      </c>
      <c r="U47">
        <v>-47.178053563024498</v>
      </c>
      <c r="W47">
        <v>-3.4124575804638797E-2</v>
      </c>
      <c r="X47">
        <v>44</v>
      </c>
    </row>
    <row r="48" spans="11:24">
      <c r="K48">
        <v>81.073883150200103</v>
      </c>
      <c r="L48">
        <v>-7.3695105717030002E-3</v>
      </c>
      <c r="N48">
        <v>7.9850541544139203E-2</v>
      </c>
      <c r="O48">
        <v>-287.53963981673797</v>
      </c>
      <c r="Q48">
        <v>9.8370210920957404E-3</v>
      </c>
      <c r="R48">
        <v>45</v>
      </c>
      <c r="T48">
        <v>1757.8125</v>
      </c>
      <c r="U48">
        <v>-48.468125473377199</v>
      </c>
      <c r="W48">
        <v>-4.2111583875577403E-2</v>
      </c>
      <c r="X48">
        <v>45</v>
      </c>
    </row>
    <row r="49" spans="11:24">
      <c r="K49">
        <v>84.060784325195996</v>
      </c>
      <c r="L49">
        <v>-7.9207701128152595E-3</v>
      </c>
      <c r="N49">
        <v>8.7109559083605598E-2</v>
      </c>
      <c r="O49">
        <v>-285.27236280588397</v>
      </c>
      <c r="Q49">
        <v>5.7117609602764501E-3</v>
      </c>
      <c r="R49">
        <v>46</v>
      </c>
      <c r="T49">
        <v>1796.875</v>
      </c>
      <c r="U49">
        <v>-49.701243168674097</v>
      </c>
      <c r="W49">
        <v>-3.4022773015258898E-2</v>
      </c>
      <c r="X49">
        <v>46</v>
      </c>
    </row>
    <row r="50" spans="11:24">
      <c r="K50">
        <v>87.157728072257598</v>
      </c>
      <c r="L50">
        <v>-8.5131241037072793E-3</v>
      </c>
      <c r="N50">
        <v>9.5028476163129205E-2</v>
      </c>
      <c r="O50">
        <v>-283.00508578896603</v>
      </c>
      <c r="Q50">
        <v>1.76114448572867E-3</v>
      </c>
      <c r="R50">
        <v>47</v>
      </c>
      <c r="T50">
        <v>1835.9375</v>
      </c>
      <c r="U50">
        <v>-50.883603685086101</v>
      </c>
      <c r="W50">
        <v>-1.3840492992923101E-2</v>
      </c>
      <c r="X50">
        <v>47</v>
      </c>
    </row>
    <row r="51" spans="11:24">
      <c r="K51">
        <v>90.368768548839995</v>
      </c>
      <c r="L51">
        <v>-9.14961403112809E-3</v>
      </c>
      <c r="N51">
        <v>0.10366728263679099</v>
      </c>
      <c r="O51">
        <v>-280.73780876483301</v>
      </c>
      <c r="Q51">
        <v>-1.9542776276733199E-3</v>
      </c>
      <c r="R51">
        <v>48</v>
      </c>
      <c r="T51">
        <v>1875</v>
      </c>
      <c r="U51">
        <v>-52.020546808681203</v>
      </c>
      <c r="W51">
        <v>1.01284657516544E-2</v>
      </c>
      <c r="X51">
        <v>48</v>
      </c>
    </row>
    <row r="52" spans="11:24">
      <c r="K52">
        <v>93.698109274526004</v>
      </c>
      <c r="L52">
        <v>-9.8335030729307191E-3</v>
      </c>
      <c r="N52">
        <v>0.11309142188966401</v>
      </c>
      <c r="O52">
        <v>-278.470531732111</v>
      </c>
      <c r="Q52">
        <v>-5.37958962177538E-3</v>
      </c>
      <c r="R52">
        <v>49</v>
      </c>
      <c r="T52">
        <v>1914.0625</v>
      </c>
      <c r="U52">
        <v>-53.116707356606803</v>
      </c>
      <c r="W52">
        <v>2.86973037922632E-2</v>
      </c>
      <c r="X52">
        <v>49</v>
      </c>
    </row>
    <row r="53" spans="11:24">
      <c r="K53">
        <v>97.150108633783404</v>
      </c>
      <c r="L53">
        <v>-1.05682917240538E-2</v>
      </c>
      <c r="N53">
        <v>0.12337228660498301</v>
      </c>
      <c r="O53">
        <v>-276.203254689169</v>
      </c>
      <c r="Q53">
        <v>-8.4665669751656202E-3</v>
      </c>
      <c r="R53">
        <v>50</v>
      </c>
      <c r="T53">
        <v>1953.125</v>
      </c>
      <c r="U53">
        <v>-54.176135541953897</v>
      </c>
      <c r="W53">
        <v>3.5355396791161502E-2</v>
      </c>
      <c r="X53">
        <v>50</v>
      </c>
    </row>
    <row r="54" spans="11:24">
      <c r="K54">
        <v>100.729285581453</v>
      </c>
      <c r="L54">
        <v>-1.13577344400015E-2</v>
      </c>
      <c r="N54">
        <v>0.13458775960030001</v>
      </c>
      <c r="O54">
        <v>-273.93597763406501</v>
      </c>
      <c r="Q54">
        <v>-1.11745661498903E-2</v>
      </c>
      <c r="R54">
        <v>51</v>
      </c>
      <c r="T54">
        <v>1992.1875</v>
      </c>
      <c r="U54">
        <v>-55.202393106619198</v>
      </c>
      <c r="W54">
        <v>2.8547723506671101E-2</v>
      </c>
      <c r="X54">
        <v>51</v>
      </c>
    </row>
    <row r="55" spans="11:24">
      <c r="K55">
        <v>104.440325558437</v>
      </c>
      <c r="L55">
        <v>-1.22058573506157E-2</v>
      </c>
      <c r="N55">
        <v>0.14682280382972501</v>
      </c>
      <c r="O55">
        <v>-271.66870056448602</v>
      </c>
      <c r="Q55">
        <v>-1.3471230355246101E-2</v>
      </c>
      <c r="R55">
        <v>52</v>
      </c>
      <c r="T55">
        <v>2031.25</v>
      </c>
      <c r="U55">
        <v>-56.198630838268002</v>
      </c>
      <c r="W55">
        <v>1.1885152182062E-2</v>
      </c>
      <c r="X55">
        <v>52</v>
      </c>
    </row>
    <row r="56" spans="11:24">
      <c r="K56">
        <v>108.288086625334</v>
      </c>
      <c r="L56">
        <v>-1.3116977097235E-2</v>
      </c>
      <c r="N56">
        <v>0.16017010602183901</v>
      </c>
      <c r="O56">
        <v>-269.40142347768199</v>
      </c>
      <c r="Q56">
        <v>-1.5332998599820701E-2</v>
      </c>
      <c r="R56">
        <v>53</v>
      </c>
      <c r="T56">
        <v>2070.3125</v>
      </c>
      <c r="U56">
        <v>-57.167651630755202</v>
      </c>
      <c r="W56">
        <v>-7.6395746171314697E-3</v>
      </c>
      <c r="X56">
        <v>53</v>
      </c>
    </row>
    <row r="57" spans="11:24">
      <c r="K57">
        <v>112.27760582204</v>
      </c>
      <c r="L57">
        <v>-1.40957208463391E-2</v>
      </c>
      <c r="N57">
        <v>0.174730778829149</v>
      </c>
      <c r="O57">
        <v>-267.13414637037698</v>
      </c>
      <c r="Q57">
        <v>-1.674541021065E-2</v>
      </c>
      <c r="R57">
        <v>54</v>
      </c>
      <c r="T57">
        <v>2109.375</v>
      </c>
      <c r="U57">
        <v>-58.111962206327703</v>
      </c>
      <c r="W57">
        <v>-2.2581723875008501E-2</v>
      </c>
      <c r="X57">
        <v>54</v>
      </c>
    </row>
    <row r="58" spans="11:24">
      <c r="K58">
        <v>116.41410576166101</v>
      </c>
      <c r="L58">
        <v>-1.5147047532025301E-2</v>
      </c>
      <c r="N58">
        <v>0.190615126808233</v>
      </c>
      <c r="O58">
        <v>-264.86686923867501</v>
      </c>
      <c r="Q58">
        <v>-1.7703201980802399E-2</v>
      </c>
      <c r="R58">
        <v>55</v>
      </c>
      <c r="T58">
        <v>2148.4375</v>
      </c>
      <c r="U58">
        <v>-59.033815863987002</v>
      </c>
      <c r="W58">
        <v>-2.78928291681526E-2</v>
      </c>
      <c r="X58">
        <v>55</v>
      </c>
    </row>
    <row r="59" spans="11:24">
      <c r="K59">
        <v>120.70300146734</v>
      </c>
      <c r="L59">
        <v>-1.62762703782535E-2</v>
      </c>
      <c r="N59">
        <v>0.20794348203327301</v>
      </c>
      <c r="O59">
        <v>-262.59959207793901</v>
      </c>
      <c r="Q59">
        <v>-1.8210200042085199E-2</v>
      </c>
      <c r="R59">
        <v>56</v>
      </c>
      <c r="T59">
        <v>2187.5</v>
      </c>
      <c r="U59">
        <v>-59.935248065574797</v>
      </c>
      <c r="W59">
        <v>-2.2595300047853199E-2</v>
      </c>
      <c r="X59">
        <v>56</v>
      </c>
    </row>
    <row r="60" spans="11:24">
      <c r="K60">
        <v>125.14990746098</v>
      </c>
      <c r="L60">
        <v>-1.7489080749526899E-2</v>
      </c>
      <c r="N60">
        <v>0.22684711567316301</v>
      </c>
      <c r="O60">
        <v>-260.33231488265102</v>
      </c>
      <c r="Q60">
        <v>-1.8279013330381701E-2</v>
      </c>
      <c r="R60">
        <v>57</v>
      </c>
      <c r="T60">
        <v>2226.5625</v>
      </c>
      <c r="U60">
        <v>-60.818106261142603</v>
      </c>
      <c r="W60">
        <v>-9.7455994779188093E-3</v>
      </c>
      <c r="X60">
        <v>57</v>
      </c>
    </row>
    <row r="61" spans="11:24">
      <c r="K61">
        <v>129.76064511312001</v>
      </c>
      <c r="L61">
        <v>-1.8791573375225901E-2</v>
      </c>
      <c r="N61">
        <v>0.247469232437877</v>
      </c>
      <c r="O61">
        <v>-258.06503764624102</v>
      </c>
      <c r="Q61">
        <v>-1.7930540006832901E-2</v>
      </c>
      <c r="R61">
        <v>58</v>
      </c>
      <c r="T61">
        <v>2265.625</v>
      </c>
      <c r="U61">
        <v>-61.684075047845802</v>
      </c>
      <c r="W61">
        <v>5.1347599808443901E-3</v>
      </c>
      <c r="X61">
        <v>58</v>
      </c>
    </row>
    <row r="62" spans="11:24">
      <c r="K62">
        <v>134.54125026359199</v>
      </c>
      <c r="L62">
        <v>-2.0190272988284901E-2</v>
      </c>
      <c r="N62">
        <v>0.26996605542751001</v>
      </c>
      <c r="O62">
        <v>-255.79776036089501</v>
      </c>
      <c r="Q62">
        <v>-1.7193302317633299E-2</v>
      </c>
      <c r="R62">
        <v>59</v>
      </c>
      <c r="T62">
        <v>2304.6875</v>
      </c>
      <c r="U62">
        <v>-62.534697523966202</v>
      </c>
      <c r="W62">
        <v>1.6400966351809199E-2</v>
      </c>
      <c r="X62">
        <v>59</v>
      </c>
    </row>
    <row r="63" spans="11:24">
      <c r="K63">
        <v>139.49798112293999</v>
      </c>
      <c r="L63">
        <v>-2.1692162412700701E-2</v>
      </c>
      <c r="N63">
        <v>0.294508009602306</v>
      </c>
      <c r="O63">
        <v>-253.53048301730999</v>
      </c>
      <c r="Q63">
        <v>-1.6102629029217601E-2</v>
      </c>
      <c r="R63">
        <v>60</v>
      </c>
      <c r="T63">
        <v>2343.75</v>
      </c>
      <c r="U63">
        <v>-63.371393521945997</v>
      </c>
      <c r="W63">
        <v>2.0415051208319601E-2</v>
      </c>
      <c r="X63">
        <v>60</v>
      </c>
    </row>
    <row r="64" spans="11:24">
      <c r="K64">
        <v>144.63732646493801</v>
      </c>
      <c r="L64">
        <v>-2.3304712126527301E-2</v>
      </c>
      <c r="N64">
        <v>0.32128101283904298</v>
      </c>
      <c r="O64">
        <v>-251.26320560441599</v>
      </c>
      <c r="Q64">
        <v>-1.4699707688181801E-2</v>
      </c>
      <c r="R64">
        <v>61</v>
      </c>
      <c r="T64">
        <v>2382.8125</v>
      </c>
      <c r="U64">
        <v>-64.195475267384097</v>
      </c>
      <c r="W64">
        <v>1.6666189540346901E-2</v>
      </c>
      <c r="X64">
        <v>61</v>
      </c>
    </row>
    <row r="65" spans="11:24">
      <c r="K65">
        <v>149.96601412093801</v>
      </c>
      <c r="L65">
        <v>-2.5035911317094501E-2</v>
      </c>
      <c r="N65">
        <v>0.35048788435421002</v>
      </c>
      <c r="O65">
        <v>-248.995928109039</v>
      </c>
      <c r="Q65">
        <v>-1.30305314655032E-2</v>
      </c>
      <c r="R65">
        <v>62</v>
      </c>
      <c r="T65">
        <v>2421.875</v>
      </c>
      <c r="U65">
        <v>-65.008160904608204</v>
      </c>
      <c r="W65">
        <v>7.56516656822498E-3</v>
      </c>
      <c r="X65">
        <v>62</v>
      </c>
    </row>
    <row r="66" spans="11:24">
      <c r="K66">
        <v>155.491019787157</v>
      </c>
      <c r="L66">
        <v>-2.6894300432785598E-2</v>
      </c>
      <c r="N66">
        <v>0.38234988116347901</v>
      </c>
      <c r="O66">
        <v>-246.72865051550099</v>
      </c>
      <c r="Q66">
        <v>-1.1144767207607599E-2</v>
      </c>
      <c r="R66">
        <v>63</v>
      </c>
      <c r="T66">
        <v>2460.9375</v>
      </c>
      <c r="U66">
        <v>-65.810586246244796</v>
      </c>
      <c r="W66">
        <v>-2.8477380291161902E-3</v>
      </c>
      <c r="X66">
        <v>63</v>
      </c>
    </row>
    <row r="67" spans="11:24">
      <c r="K67">
        <v>161.219576156453</v>
      </c>
      <c r="L67">
        <v>-2.88890052206432E-2</v>
      </c>
      <c r="N67">
        <v>0.41710837421695901</v>
      </c>
      <c r="O67">
        <v>-244.46137280514299</v>
      </c>
      <c r="Q67">
        <v>-9.0945725044138098E-3</v>
      </c>
      <c r="R67">
        <v>64</v>
      </c>
      <c r="T67">
        <v>2500</v>
      </c>
      <c r="U67">
        <v>-66.603815038682797</v>
      </c>
      <c r="W67">
        <v>-1.06442035627875E-2</v>
      </c>
      <c r="X67">
        <v>64</v>
      </c>
    </row>
    <row r="68" spans="11:24">
      <c r="K68">
        <v>167.15918238651301</v>
      </c>
      <c r="L68">
        <v>-3.1029772220609E-2</v>
      </c>
      <c r="N68">
        <v>0.45502667690781301</v>
      </c>
      <c r="O68">
        <v>-242.19409495575999</v>
      </c>
      <c r="Q68">
        <v>-6.9333900854028603E-3</v>
      </c>
      <c r="R68">
        <v>65</v>
      </c>
      <c r="T68">
        <v>2539.0625</v>
      </c>
      <c r="U68">
        <v>-67.388847983396005</v>
      </c>
      <c r="W68">
        <v>-1.3463383558513601E-2</v>
      </c>
      <c r="X68">
        <v>65</v>
      </c>
    </row>
    <row r="69" spans="11:24">
      <c r="K69">
        <v>173.31761391688201</v>
      </c>
      <c r="L69">
        <v>-3.3327005665147999E-2</v>
      </c>
      <c r="N69">
        <v>0.49639203980611102</v>
      </c>
      <c r="O69">
        <v>-239.92681694092701</v>
      </c>
      <c r="Q69">
        <v>-4.7147476745233504E-3</v>
      </c>
      <c r="R69">
        <v>66</v>
      </c>
      <c r="T69">
        <v>2578.125</v>
      </c>
      <c r="U69">
        <v>-68.1666307126996</v>
      </c>
      <c r="W69">
        <v>-1.1153740447455001E-2</v>
      </c>
      <c r="X69">
        <v>66</v>
      </c>
    </row>
    <row r="70" spans="11:24">
      <c r="K70">
        <v>179.702932647659</v>
      </c>
      <c r="L70">
        <v>-3.5791805706440097E-2</v>
      </c>
      <c r="N70">
        <v>0.541517826729075</v>
      </c>
      <c r="O70">
        <v>-237.65953872919499</v>
      </c>
      <c r="Q70">
        <v>-2.4910905950203898E-3</v>
      </c>
      <c r="R70">
        <v>67</v>
      </c>
      <c r="T70">
        <v>2617.1875</v>
      </c>
      <c r="U70">
        <v>-68.938060885359405</v>
      </c>
      <c r="W70">
        <v>-5.4668760643420697E-3</v>
      </c>
      <c r="X70">
        <v>67</v>
      </c>
    </row>
    <row r="71" spans="11:24">
      <c r="K71">
        <v>186.323497493198</v>
      </c>
      <c r="L71">
        <v>-3.8436007862000299E-2</v>
      </c>
      <c r="N71">
        <v>0.59074588863254096</v>
      </c>
      <c r="O71">
        <v>-235.39226028313701</v>
      </c>
      <c r="Q71">
        <v>-3.1267295297202199E-4</v>
      </c>
      <c r="R71">
        <v>68</v>
      </c>
      <c r="T71">
        <v>2656.25</v>
      </c>
      <c r="U71">
        <v>-69.703994540802498</v>
      </c>
      <c r="W71">
        <v>9.3407867617470105E-4</v>
      </c>
      <c r="X71">
        <v>68</v>
      </c>
    </row>
    <row r="72" spans="11:24">
      <c r="K72">
        <v>193.187975324619</v>
      </c>
      <c r="L72">
        <v>-4.1272223532445799E-2</v>
      </c>
      <c r="N72">
        <v>0.64444915330709396</v>
      </c>
      <c r="O72">
        <v>-233.12498155821299</v>
      </c>
      <c r="Q72">
        <v>1.77346880574091E-3</v>
      </c>
      <c r="R72">
        <v>69</v>
      </c>
      <c r="T72">
        <v>2695.3125</v>
      </c>
      <c r="U72">
        <v>-70.465251829147107</v>
      </c>
      <c r="W72">
        <v>5.6514667875904902E-3</v>
      </c>
      <c r="X72">
        <v>69</v>
      </c>
    </row>
    <row r="73" spans="11:24">
      <c r="K73">
        <v>200.305352315471</v>
      </c>
      <c r="L73">
        <v>-4.4313881401571498E-2</v>
      </c>
      <c r="N73">
        <v>0.70303445049715296</v>
      </c>
      <c r="O73">
        <v>-230.85770250141599</v>
      </c>
      <c r="Q73">
        <v>3.7244387129387701E-3</v>
      </c>
      <c r="R73">
        <v>70</v>
      </c>
      <c r="T73">
        <v>2734.375</v>
      </c>
      <c r="U73">
        <v>-71.222622216849302</v>
      </c>
      <c r="W73">
        <v>7.4150618023886899E-3</v>
      </c>
      <c r="X73">
        <v>70</v>
      </c>
    </row>
    <row r="74" spans="11:24">
      <c r="K74">
        <v>207.68494570537499</v>
      </c>
      <c r="L74">
        <v>-4.7575269478013701E-2</v>
      </c>
      <c r="N74">
        <v>0.76694559384471594</v>
      </c>
      <c r="O74">
        <v>-228.590423049664</v>
      </c>
      <c r="Q74">
        <v>5.5022821955639E-3</v>
      </c>
      <c r="R74">
        <v>71</v>
      </c>
      <c r="T74">
        <v>2773.4375</v>
      </c>
      <c r="U74">
        <v>-71.976869253651898</v>
      </c>
      <c r="W74">
        <v>6.3347344172054801E-3</v>
      </c>
      <c r="X74">
        <v>71</v>
      </c>
    </row>
    <row r="75" spans="11:24">
      <c r="K75">
        <v>215.336415997073</v>
      </c>
      <c r="L75">
        <v>-5.1071577478587003E-2</v>
      </c>
      <c r="N75">
        <v>0.83666674300508703</v>
      </c>
      <c r="O75">
        <v>-226.32314312788401</v>
      </c>
      <c r="Q75">
        <v>7.0746501487722402E-3</v>
      </c>
      <c r="R75">
        <v>72</v>
      </c>
      <c r="T75">
        <v>2812.5</v>
      </c>
      <c r="U75">
        <v>-72.728734975100593</v>
      </c>
      <c r="W75">
        <v>3.5487341879189898E-3</v>
      </c>
      <c r="X75">
        <v>72</v>
      </c>
    </row>
    <row r="76" spans="11:24">
      <c r="K76">
        <v>223.26977960282801</v>
      </c>
      <c r="L76">
        <v>-5.4818939184799201E-2</v>
      </c>
      <c r="N76">
        <v>0.91272607140431905</v>
      </c>
      <c r="O76">
        <v>-224.055862646733</v>
      </c>
      <c r="Q76">
        <v>8.41531481515213E-3</v>
      </c>
      <c r="R76">
        <v>73</v>
      </c>
      <c r="T76">
        <v>2851.5625</v>
      </c>
      <c r="U76">
        <v>-73.478944005675501</v>
      </c>
      <c r="W76">
        <v>5.2552111255191E-4</v>
      </c>
      <c r="X76">
        <v>73</v>
      </c>
    </row>
    <row r="77" spans="11:24">
      <c r="K77">
        <v>231.49542195674499</v>
      </c>
      <c r="L77">
        <v>-5.8834474324949398E-2</v>
      </c>
      <c r="N77">
        <v>0.99569976742352295</v>
      </c>
      <c r="O77">
        <v>-221.78858149988599</v>
      </c>
      <c r="Q77">
        <v>9.5045298872613905E-3</v>
      </c>
      <c r="R77">
        <v>74</v>
      </c>
      <c r="T77">
        <v>2890.625</v>
      </c>
      <c r="U77">
        <v>-74.228207420206004</v>
      </c>
      <c r="W77">
        <v>-1.61813202945315E-3</v>
      </c>
      <c r="X77">
        <v>74</v>
      </c>
    </row>
    <row r="78" spans="11:24">
      <c r="K78">
        <v>240.02411111016599</v>
      </c>
      <c r="L78">
        <v>-6.3136329443392897E-2</v>
      </c>
      <c r="N78">
        <v>1.0862163993210601</v>
      </c>
      <c r="O78">
        <v>-219.52129956080901</v>
      </c>
      <c r="Q78">
        <v>1.0329231095428999E-2</v>
      </c>
      <c r="R78">
        <v>75</v>
      </c>
      <c r="T78">
        <v>2929.6875</v>
      </c>
      <c r="U78">
        <v>-74.977226415388898</v>
      </c>
      <c r="W78">
        <v>-2.4888680306190598E-3</v>
      </c>
      <c r="X78">
        <v>75</v>
      </c>
    </row>
    <row r="79" spans="11:24">
      <c r="K79">
        <v>248.86701182794801</v>
      </c>
      <c r="L79">
        <v>-6.77437171146867E-2</v>
      </c>
      <c r="N79">
        <v>1.18496167695915</v>
      </c>
      <c r="O79">
        <v>-217.25401667891299</v>
      </c>
      <c r="Q79">
        <v>1.08830773721724E-2</v>
      </c>
      <c r="R79">
        <v>76</v>
      </c>
      <c r="T79">
        <v>2968.75</v>
      </c>
      <c r="U79">
        <v>-75.726695838705197</v>
      </c>
      <c r="W79">
        <v>-2.3731381491057398E-3</v>
      </c>
      <c r="X79">
        <v>76</v>
      </c>
    </row>
    <row r="80" spans="11:24">
      <c r="K80">
        <v>258.03570020407398</v>
      </c>
      <c r="L80">
        <v>-7.2676952741754799E-2</v>
      </c>
      <c r="N80">
        <v>1.2926836464073801</v>
      </c>
      <c r="O80">
        <v>-214.98673267498901</v>
      </c>
      <c r="Q80">
        <v>1.1166336408122699E-2</v>
      </c>
      <c r="R80">
        <v>77</v>
      </c>
      <c r="T80">
        <v>3007.8125</v>
      </c>
      <c r="U80">
        <v>-76.477307618645398</v>
      </c>
      <c r="W80">
        <v>-1.8814580318903E-3</v>
      </c>
      <c r="X80">
        <v>77</v>
      </c>
    </row>
    <row r="81" spans="11:24">
      <c r="K81">
        <v>267.54217881571998</v>
      </c>
      <c r="L81">
        <v>-7.7957488043048501E-2</v>
      </c>
      <c r="N81">
        <v>1.4101983567749401</v>
      </c>
      <c r="O81">
        <v>-212.719447335762</v>
      </c>
      <c r="Q81">
        <v>1.1185621946467999E-2</v>
      </c>
      <c r="R81">
        <v>78</v>
      </c>
      <c r="T81">
        <v>3046.875</v>
      </c>
      <c r="U81">
        <v>-77.229754137794501</v>
      </c>
      <c r="W81">
        <v>-1.5145056369535101E-3</v>
      </c>
      <c r="X81">
        <v>78</v>
      </c>
    </row>
    <row r="82" spans="11:24">
      <c r="K82">
        <v>277.39889243563198</v>
      </c>
      <c r="L82">
        <v>-8.3607940181587195E-2</v>
      </c>
      <c r="N82">
        <v>1.5383960422007501</v>
      </c>
      <c r="O82">
        <v>-210.45216040741499</v>
      </c>
      <c r="Q82">
        <v>1.09534934249174E-2</v>
      </c>
      <c r="R82">
        <v>79</v>
      </c>
      <c r="T82">
        <v>3085.9375</v>
      </c>
      <c r="U82">
        <v>-77.984731588900203</v>
      </c>
      <c r="W82">
        <v>-1.38735644584963E-3</v>
      </c>
      <c r="X82">
        <v>79</v>
      </c>
    </row>
    <row r="83" spans="11:24">
      <c r="K83">
        <v>287.618744323366</v>
      </c>
      <c r="L83">
        <v>-8.9652115318081996E-2</v>
      </c>
      <c r="N83">
        <v>1.6782478658331299</v>
      </c>
      <c r="O83">
        <v>-208.184871587891</v>
      </c>
      <c r="Q83">
        <v>1.04879314959183E-2</v>
      </c>
      <c r="R83">
        <v>80</v>
      </c>
      <c r="T83">
        <v>3125</v>
      </c>
      <c r="U83">
        <v>-78.7429433535046</v>
      </c>
      <c r="W83">
        <v>-1.2357663403427901E-3</v>
      </c>
      <c r="X83">
        <v>80</v>
      </c>
    </row>
    <row r="84" spans="11:24">
      <c r="K84">
        <v>298.21511311673902</v>
      </c>
      <c r="L84">
        <v>-9.6115025178745997E-2</v>
      </c>
      <c r="N84">
        <v>1.8308132768882499</v>
      </c>
      <c r="O84">
        <v>-205.917580517712</v>
      </c>
      <c r="Q84">
        <v>9.8117054772021602E-3</v>
      </c>
      <c r="R84">
        <v>81</v>
      </c>
      <c r="T84">
        <v>3164.0625</v>
      </c>
      <c r="U84">
        <v>-79.505103443038095</v>
      </c>
      <c r="W84">
        <v>-6.6715511278760196E-4</v>
      </c>
      <c r="X84">
        <v>81</v>
      </c>
    </row>
    <row r="85" spans="11:24">
      <c r="K85">
        <v>309.20187034557102</v>
      </c>
      <c r="L85">
        <v>-0.10302289501502999</v>
      </c>
      <c r="N85">
        <v>1.9972480365206999</v>
      </c>
      <c r="O85">
        <v>-203.65028676907301</v>
      </c>
      <c r="Q85">
        <v>8.9516508567251303E-3</v>
      </c>
      <c r="R85">
        <v>82</v>
      </c>
      <c r="T85">
        <v>3203.125</v>
      </c>
      <c r="U85">
        <v>-80.2719400434638</v>
      </c>
      <c r="W85">
        <v>5.0841979900444201E-4</v>
      </c>
      <c r="X85">
        <v>82</v>
      </c>
    </row>
    <row r="86" spans="11:24">
      <c r="K86">
        <v>320.59339859068001</v>
      </c>
      <c r="L86">
        <v>-0.110403161095742</v>
      </c>
      <c r="N86">
        <v>2.1788129733064401</v>
      </c>
      <c r="O86">
        <v>-201.382989832851</v>
      </c>
      <c r="Q86">
        <v>7.9378765618106709E-3</v>
      </c>
      <c r="R86">
        <v>83</v>
      </c>
      <c r="T86">
        <v>3242.1875</v>
      </c>
      <c r="U86">
        <v>-81.044199206659798</v>
      </c>
      <c r="W86">
        <v>2.06571841022845E-3</v>
      </c>
      <c r="X86">
        <v>83</v>
      </c>
    </row>
    <row r="87" spans="11:24">
      <c r="K87">
        <v>332.40461031187601</v>
      </c>
      <c r="L87">
        <v>-0.11828445561060499</v>
      </c>
      <c r="N87">
        <v>2.3768835346651902</v>
      </c>
      <c r="O87">
        <v>-199.11568910314401</v>
      </c>
      <c r="Q87">
        <v>6.80292277747159E-3</v>
      </c>
      <c r="R87">
        <v>84</v>
      </c>
      <c r="T87">
        <v>3281.25</v>
      </c>
      <c r="U87">
        <v>-81.822648734804901</v>
      </c>
      <c r="W87">
        <v>3.3981699592958801E-3</v>
      </c>
      <c r="X87">
        <v>84</v>
      </c>
    </row>
    <row r="88" spans="11:24">
      <c r="K88">
        <v>344.650967369613</v>
      </c>
      <c r="L88">
        <v>-0.126696576577704</v>
      </c>
      <c r="N88">
        <v>2.5929602065793902</v>
      </c>
      <c r="O88">
        <v>-196.84838385888401</v>
      </c>
      <c r="Q88">
        <v>5.5808906520194998E-3</v>
      </c>
      <c r="R88">
        <v>85</v>
      </c>
      <c r="T88">
        <v>3320.3125</v>
      </c>
      <c r="U88">
        <v>-82.608082308209802</v>
      </c>
      <c r="W88">
        <v>3.7918272129292599E-3</v>
      </c>
      <c r="X88">
        <v>85</v>
      </c>
    </row>
    <row r="89" spans="11:24">
      <c r="K89">
        <v>357.34850126585701</v>
      </c>
      <c r="L89">
        <v>-0.135670440034627</v>
      </c>
      <c r="N89">
        <v>2.8286798805441999</v>
      </c>
      <c r="O89">
        <v>-194.58107324193401</v>
      </c>
      <c r="Q89">
        <v>4.30656526044921E-3</v>
      </c>
      <c r="R89">
        <v>86</v>
      </c>
      <c r="T89">
        <v>3359.375</v>
      </c>
      <c r="U89">
        <v>-83.401323912439395</v>
      </c>
      <c r="W89">
        <v>2.8041671298240901E-3</v>
      </c>
      <c r="X89">
        <v>86</v>
      </c>
    </row>
    <row r="90" spans="11:24">
      <c r="K90">
        <v>370.513834130654</v>
      </c>
      <c r="L90">
        <v>-0.14523801145460899</v>
      </c>
      <c r="N90">
        <v>3.08582825385932</v>
      </c>
      <c r="O90">
        <v>-192.313756231041</v>
      </c>
      <c r="Q90">
        <v>3.01455272138762E-3</v>
      </c>
      <c r="R90">
        <v>87</v>
      </c>
      <c r="T90">
        <v>3398.4375</v>
      </c>
      <c r="U90">
        <v>-84.203232627427099</v>
      </c>
      <c r="W90">
        <v>5.5253574061116402E-4</v>
      </c>
      <c r="X90">
        <v>87</v>
      </c>
    </row>
    <row r="91" spans="11:24">
      <c r="K91">
        <v>384.16420048188502</v>
      </c>
      <c r="L91">
        <v>-0.155432212965289</v>
      </c>
      <c r="N91">
        <v>3.3663533572008402</v>
      </c>
      <c r="O91">
        <v>-190.04643161082501</v>
      </c>
      <c r="Q91">
        <v>1.73845140701307E-3</v>
      </c>
      <c r="R91">
        <v>88</v>
      </c>
      <c r="T91">
        <v>3437.5</v>
      </c>
      <c r="U91">
        <v>-85.014707849826706</v>
      </c>
      <c r="W91">
        <v>-2.2454213002920599E-3</v>
      </c>
      <c r="X91">
        <v>88</v>
      </c>
    </row>
    <row r="92" spans="11:24">
      <c r="K92">
        <v>398.31746978668701</v>
      </c>
      <c r="L92">
        <v>-0.16628680256009301</v>
      </c>
      <c r="N92">
        <v>3.6723803119517302</v>
      </c>
      <c r="O92">
        <v>-187.779097934878</v>
      </c>
      <c r="Q92">
        <v>5.1007578346538905E-4</v>
      </c>
      <c r="R92">
        <v>89</v>
      </c>
      <c r="T92">
        <v>3476.5625</v>
      </c>
      <c r="U92">
        <v>-85.8366950304369</v>
      </c>
      <c r="W92">
        <v>-4.5208221900438104E-3</v>
      </c>
      <c r="X92">
        <v>89</v>
      </c>
    </row>
    <row r="93" spans="11:24">
      <c r="K93">
        <v>412.99216985407003</v>
      </c>
      <c r="L93">
        <v>-0.177836221083296</v>
      </c>
      <c r="N93">
        <v>4.0062274290850999</v>
      </c>
      <c r="O93">
        <v>-185.511753481846</v>
      </c>
      <c r="Q93">
        <v>-6.4125038230708302E-4</v>
      </c>
      <c r="R93">
        <v>90</v>
      </c>
      <c r="T93">
        <v>3515.625</v>
      </c>
      <c r="U93">
        <v>-86.670192021579993</v>
      </c>
      <c r="W93">
        <v>-5.2946198971501697E-3</v>
      </c>
      <c r="X93">
        <v>90</v>
      </c>
    </row>
    <row r="94" spans="11:24">
      <c r="K94">
        <v>428.20751108937202</v>
      </c>
      <c r="L94">
        <v>-0.19011540234303101</v>
      </c>
      <c r="N94">
        <v>4.3704237715575598</v>
      </c>
      <c r="O94">
        <v>-183.24439620316099</v>
      </c>
      <c r="Q94">
        <v>-1.68931686049623E-3</v>
      </c>
      <c r="R94">
        <v>91</v>
      </c>
      <c r="T94">
        <v>3554.6875</v>
      </c>
      <c r="U94">
        <v>-87.516256145397307</v>
      </c>
      <c r="W94">
        <v>-4.1172697886311697E-3</v>
      </c>
      <c r="X94">
        <v>91</v>
      </c>
    </row>
    <row r="95" spans="11:24">
      <c r="K95">
        <v>443.98341164227099</v>
      </c>
      <c r="L95">
        <v>-0.20315954126675101</v>
      </c>
      <c r="N95">
        <v>4.76772831325688</v>
      </c>
      <c r="O95">
        <v>-180.97702366083701</v>
      </c>
      <c r="Q95">
        <v>-2.61155368435901E-3</v>
      </c>
      <c r="R95">
        <v>92</v>
      </c>
      <c r="T95">
        <v>3593.75</v>
      </c>
      <c r="U95">
        <v>-88.376012113825595</v>
      </c>
      <c r="W95">
        <v>-1.3058289642756901E-3</v>
      </c>
      <c r="X95">
        <v>92</v>
      </c>
    </row>
    <row r="96" spans="11:24">
      <c r="K96">
        <v>460.34052348131098</v>
      </c>
      <c r="L96">
        <v>-0.21700381456762499</v>
      </c>
      <c r="N96">
        <v>5.2011508396427804</v>
      </c>
      <c r="O96">
        <v>-178.70963295343901</v>
      </c>
      <c r="Q96">
        <v>-3.3894522580718198E-3</v>
      </c>
      <c r="R96">
        <v>93</v>
      </c>
      <c r="T96">
        <v>3632.8125</v>
      </c>
      <c r="U96">
        <v>-89.250660955482203</v>
      </c>
      <c r="W96">
        <v>2.1381249826717399E-3</v>
      </c>
      <c r="X96">
        <v>93</v>
      </c>
    </row>
    <row r="97" spans="11:24">
      <c r="K97">
        <v>477.300259429042</v>
      </c>
      <c r="L97">
        <v>-0.231683047946112</v>
      </c>
      <c r="N97">
        <v>5.6739747484137402</v>
      </c>
      <c r="O97">
        <v>-176.44222062797201</v>
      </c>
      <c r="Q97">
        <v>-4.0088741407284601E-3</v>
      </c>
      <c r="R97">
        <v>94</v>
      </c>
      <c r="T97">
        <v>3671.875</v>
      </c>
      <c r="U97">
        <v>-90.141490134985901</v>
      </c>
      <c r="W97">
        <v>4.9074744754881803E-3</v>
      </c>
      <c r="X97">
        <v>94</v>
      </c>
    </row>
    <row r="98" spans="11:24">
      <c r="K98">
        <v>494.88482119319502</v>
      </c>
      <c r="L98">
        <v>-0.24723132341894699</v>
      </c>
      <c r="N98">
        <v>6.18978192292687</v>
      </c>
      <c r="O98">
        <v>-174.17478257501801</v>
      </c>
      <c r="Q98">
        <v>-4.4602436794656704E-3</v>
      </c>
      <c r="R98">
        <v>95</v>
      </c>
      <c r="T98">
        <v>3710.9375</v>
      </c>
      <c r="U98">
        <v>-91.049885087926199</v>
      </c>
      <c r="W98">
        <v>5.9121045604403301E-3</v>
      </c>
      <c r="X98">
        <v>95</v>
      </c>
    </row>
    <row r="99" spans="11:24">
      <c r="K99">
        <v>513.11722843056896</v>
      </c>
      <c r="L99">
        <v>-0.26368151996040801</v>
      </c>
      <c r="N99">
        <v>6.7524798667994403</v>
      </c>
      <c r="O99">
        <v>-171.90731390393501</v>
      </c>
      <c r="Q99">
        <v>-4.7386235511052196E-3</v>
      </c>
      <c r="R99">
        <v>96</v>
      </c>
      <c r="T99">
        <v>3750</v>
      </c>
      <c r="U99">
        <v>-91.977342441798896</v>
      </c>
      <c r="W99">
        <v>4.7265913804882698E-3</v>
      </c>
      <c r="X99">
        <v>96</v>
      </c>
    </row>
    <row r="100" spans="11:24">
      <c r="K100">
        <v>532.02134888167097</v>
      </c>
      <c r="L100">
        <v>-0.28106478027256299</v>
      </c>
      <c r="N100">
        <v>7.3663313052508199</v>
      </c>
      <c r="O100">
        <v>-169.63980879431</v>
      </c>
      <c r="Q100">
        <v>-4.84367509665858E-3</v>
      </c>
      <c r="R100">
        <v>97</v>
      </c>
      <c r="T100">
        <v>3789.0625</v>
      </c>
      <c r="U100">
        <v>-92.925485252418994</v>
      </c>
      <c r="W100">
        <v>1.77390725481218E-3</v>
      </c>
      <c r="X100">
        <v>97</v>
      </c>
    </row>
    <row r="101" spans="11:24">
      <c r="K101">
        <v>551.62192961558799</v>
      </c>
      <c r="L101">
        <v>-0.299409896189616</v>
      </c>
      <c r="N101">
        <v>8.0359864774299403</v>
      </c>
      <c r="O101">
        <v>-167.37226031916401</v>
      </c>
      <c r="Q101">
        <v>-4.7795080308673001E-3</v>
      </c>
      <c r="R101">
        <v>98</v>
      </c>
      <c r="T101">
        <v>3828.125</v>
      </c>
      <c r="U101">
        <v>-93.896080660157907</v>
      </c>
      <c r="W101">
        <v>-1.8335860052641E-3</v>
      </c>
      <c r="X101">
        <v>98</v>
      </c>
    </row>
    <row r="102" spans="11:24">
      <c r="K102">
        <v>571.94462942595601</v>
      </c>
      <c r="L102">
        <v>-0.318742604985634</v>
      </c>
      <c r="N102">
        <v>8.7665183643594098</v>
      </c>
      <c r="O102">
        <v>-165.10466023452801</v>
      </c>
      <c r="Q102">
        <v>-4.5544266188392302E-3</v>
      </c>
      <c r="R102">
        <v>99</v>
      </c>
      <c r="T102">
        <v>3867.1875</v>
      </c>
      <c r="U102">
        <v>-94.891060465598002</v>
      </c>
      <c r="W102">
        <v>-4.7312740041321804E-3</v>
      </c>
      <c r="X102">
        <v>99</v>
      </c>
    </row>
    <row r="103" spans="11:24">
      <c r="K103">
        <v>593.01605242046105</v>
      </c>
      <c r="L103">
        <v>-0.33908478871713099</v>
      </c>
      <c r="N103">
        <v>9.5634611193658099</v>
      </c>
      <c r="O103">
        <v>-162.83699872897</v>
      </c>
      <c r="Q103">
        <v>-4.1805816791734502E-3</v>
      </c>
      <c r="R103">
        <v>100</v>
      </c>
      <c r="T103">
        <v>3906.25</v>
      </c>
      <c r="U103">
        <v>-95.912545246290193</v>
      </c>
      <c r="W103">
        <v>-5.8382052356879804E-3</v>
      </c>
      <c r="X103">
        <v>100</v>
      </c>
    </row>
    <row r="104" spans="11:24">
      <c r="K104">
        <v>614.86378284783802</v>
      </c>
      <c r="L104">
        <v>-0.36045356871612699</v>
      </c>
      <c r="N104">
        <v>10.432851992126601</v>
      </c>
      <c r="O104">
        <v>-160.56926412547199</v>
      </c>
      <c r="Q104">
        <v>1972.65625</v>
      </c>
      <c r="R104">
        <v>-78.4834443971734</v>
      </c>
      <c r="T104">
        <v>3945.3125</v>
      </c>
      <c r="U104">
        <v>-96.962872794015595</v>
      </c>
    </row>
    <row r="105" spans="11:24">
      <c r="K105">
        <v>637.51642120793997</v>
      </c>
      <c r="L105">
        <v>-0.38286028748191703</v>
      </c>
      <c r="N105">
        <v>11.3812770639296</v>
      </c>
      <c r="O105">
        <v>-158.30144252654901</v>
      </c>
      <c r="Q105">
        <v>1992.1875</v>
      </c>
      <c r="R105">
        <v>-78.954591605836399</v>
      </c>
      <c r="T105">
        <v>3984.375</v>
      </c>
      <c r="U105">
        <v>-98.044631857408902</v>
      </c>
    </row>
    <row r="106" spans="11:24">
      <c r="K106">
        <v>661.00362169218795</v>
      </c>
      <c r="L106">
        <v>-0.40630937052913302</v>
      </c>
      <c r="N106">
        <v>12.4159211406128</v>
      </c>
      <c r="O106">
        <v>-156.03351739181301</v>
      </c>
      <c r="Q106">
        <v>2011.71875</v>
      </c>
      <c r="R106">
        <v>-79.421448366247802</v>
      </c>
      <c r="T106">
        <v>4023.4375</v>
      </c>
      <c r="U106">
        <v>-99.160702444833206</v>
      </c>
    </row>
    <row r="107" spans="11:24">
      <c r="K107">
        <v>685.35613100337105</v>
      </c>
      <c r="L107">
        <v>-0.43079706126595801</v>
      </c>
      <c r="N107">
        <v>13.544622181150199</v>
      </c>
      <c r="O107">
        <v>-153.76546903507199</v>
      </c>
      <c r="Q107">
        <v>2031.25</v>
      </c>
      <c r="R107">
        <v>-79.884113266411205</v>
      </c>
      <c r="T107">
        <v>4062.5</v>
      </c>
      <c r="U107">
        <v>-100.31430430077199</v>
      </c>
    </row>
    <row r="108" spans="11:24">
      <c r="K108">
        <v>710.60582860564602</v>
      </c>
      <c r="L108">
        <v>-0.45631002273146798</v>
      </c>
      <c r="N108">
        <v>14.7759306742061</v>
      </c>
      <c r="O108">
        <v>-151.49727402562701</v>
      </c>
      <c r="Q108">
        <v>2050.78125</v>
      </c>
      <c r="R108">
        <v>-80.342681740497198</v>
      </c>
      <c r="T108">
        <v>4101.5625</v>
      </c>
      <c r="U108">
        <v>-101.50905564957201</v>
      </c>
    </row>
    <row r="109" spans="11:24">
      <c r="K109">
        <v>736.78576845740895</v>
      </c>
      <c r="L109">
        <v>-0.48282380104914102</v>
      </c>
      <c r="N109">
        <v>16.119174412468201</v>
      </c>
      <c r="O109">
        <v>-149.22890447544299</v>
      </c>
      <c r="Q109">
        <v>2070.3125</v>
      </c>
      <c r="R109">
        <v>-80.797246207246801</v>
      </c>
      <c r="T109">
        <v>4140.625</v>
      </c>
      <c r="U109">
        <v>-102.749044952075</v>
      </c>
    </row>
    <row r="110" spans="11:24">
      <c r="K110">
        <v>763.93022228169104</v>
      </c>
      <c r="L110">
        <v>-0.51030114679119198</v>
      </c>
      <c r="N110">
        <v>17.584529155455701</v>
      </c>
      <c r="O110">
        <v>-146.960327190388</v>
      </c>
      <c r="Q110">
        <v>2089.84375</v>
      </c>
      <c r="R110">
        <v>-81.247896200750702</v>
      </c>
      <c r="T110">
        <v>4179.6875</v>
      </c>
      <c r="U110">
        <v>-104.038919315282</v>
      </c>
    </row>
    <row r="111" spans="11:24">
      <c r="K111">
        <v>792.07472443068696</v>
      </c>
      <c r="L111">
        <v>-0.53869019213650005</v>
      </c>
      <c r="N111">
        <v>19.183095716111499</v>
      </c>
      <c r="O111">
        <v>-144.69150265950199</v>
      </c>
      <c r="Q111">
        <v>2109.375</v>
      </c>
      <c r="R111">
        <v>-81.694718494115804</v>
      </c>
      <c r="T111">
        <v>4218.75</v>
      </c>
      <c r="U111">
        <v>-105.383994439433</v>
      </c>
    </row>
    <row r="112" spans="11:24">
      <c r="K112">
        <v>821.256118403188</v>
      </c>
      <c r="L112">
        <v>-0.56792248379100296</v>
      </c>
      <c r="N112">
        <v>20.926984055147202</v>
      </c>
      <c r="O112">
        <v>-142.42238385125501</v>
      </c>
      <c r="Q112">
        <v>2128.90625</v>
      </c>
      <c r="R112">
        <v>-82.137797216482895</v>
      </c>
      <c r="T112">
        <v>4257.8125</v>
      </c>
      <c r="U112">
        <v>-106.790392742557</v>
      </c>
    </row>
    <row r="113" spans="11:21">
      <c r="K113">
        <v>851.51260507580298</v>
      </c>
      <c r="L113">
        <v>-0.59791087418154498</v>
      </c>
      <c r="N113">
        <v>22.829405020200799</v>
      </c>
      <c r="O113">
        <v>-140.15291477972499</v>
      </c>
      <c r="Q113">
        <v>2148.4375</v>
      </c>
      <c r="R113">
        <v>-82.577213963829294</v>
      </c>
      <c r="T113">
        <v>4296.875</v>
      </c>
      <c r="U113">
        <v>-108.265218818752</v>
      </c>
    </row>
    <row r="114" spans="11:21">
      <c r="K114">
        <v>882.88379271107203</v>
      </c>
      <c r="L114">
        <v>-0.62854727650739295</v>
      </c>
      <c r="N114">
        <v>24.904770424774998</v>
      </c>
      <c r="O114">
        <v>-137.88302879644399</v>
      </c>
      <c r="Q114">
        <v>2167.96875</v>
      </c>
      <c r="R114">
        <v>-83.013047903953094</v>
      </c>
      <c r="T114">
        <v>4335.9375</v>
      </c>
      <c r="U114">
        <v>-109.81678505537499</v>
      </c>
    </row>
    <row r="115" spans="11:21">
      <c r="K115">
        <v>915.41074880799397</v>
      </c>
      <c r="L115">
        <v>-0.65970029293905497</v>
      </c>
      <c r="N115">
        <v>27.168802225109101</v>
      </c>
      <c r="O115">
        <v>-135.61264655499701</v>
      </c>
      <c r="Q115">
        <v>2187.5</v>
      </c>
      <c r="R115">
        <v>-83.445375876007603</v>
      </c>
      <c r="T115">
        <v>4375</v>
      </c>
      <c r="U115">
        <v>-111.454905686128</v>
      </c>
    </row>
    <row r="116" spans="11:21">
      <c r="K116">
        <v>949.13605386280597</v>
      </c>
      <c r="L116">
        <v>-0.69121272973190795</v>
      </c>
      <c r="N116">
        <v>29.638651622052102</v>
      </c>
      <c r="O116">
        <v>-133.34167358513801</v>
      </c>
      <c r="Q116">
        <v>2207.03125</v>
      </c>
      <c r="R116">
        <v>-83.874272484931296</v>
      </c>
      <c r="T116">
        <v>4414.0625</v>
      </c>
      <c r="U116">
        <v>-113.191285829759</v>
      </c>
    </row>
    <row r="117" spans="11:21">
      <c r="K117">
        <v>984.10385711038998</v>
      </c>
      <c r="L117">
        <v>-0.72289901847044702</v>
      </c>
      <c r="N117">
        <v>32.333028990196603</v>
      </c>
      <c r="O117">
        <v>-131.06999740065001</v>
      </c>
      <c r="Q117">
        <v>2226.5625</v>
      </c>
      <c r="R117">
        <v>-84.299810191084106</v>
      </c>
      <c r="T117">
        <v>4453.125</v>
      </c>
      <c r="U117">
        <v>-115.04004491426601</v>
      </c>
    </row>
    <row r="118" spans="11:21">
      <c r="K118">
        <v>1020.35993431932</v>
      </c>
      <c r="L118">
        <v>-0.75454256935898201</v>
      </c>
      <c r="N118">
        <v>35.2723456185525</v>
      </c>
      <c r="O118">
        <v>-128.797484050219</v>
      </c>
      <c r="Q118">
        <v>2246.09375</v>
      </c>
      <c r="R118">
        <v>-84.722059395388399</v>
      </c>
      <c r="T118">
        <v>4492.1875</v>
      </c>
      <c r="U118">
        <v>-117.018434376184</v>
      </c>
    </row>
    <row r="119" spans="11:21">
      <c r="K119">
        <v>1057.9517477161301</v>
      </c>
      <c r="L119">
        <v>-0.78589309082490899</v>
      </c>
      <c r="N119">
        <v>38.4788683365189</v>
      </c>
      <c r="O119">
        <v>-126.523974002385</v>
      </c>
      <c r="Q119">
        <v>2265.625</v>
      </c>
      <c r="R119">
        <v>-85.141088520243599</v>
      </c>
      <c r="T119">
        <v>4531.25</v>
      </c>
      <c r="U119">
        <v>-119.147843176677</v>
      </c>
    </row>
    <row r="120" spans="11:21">
      <c r="K120">
        <v>1096.92850811736</v>
      </c>
      <c r="L120">
        <v>-0.81666392026406298</v>
      </c>
      <c r="N120">
        <v>41.976888196524598</v>
      </c>
      <c r="O120">
        <v>-124.24927723368501</v>
      </c>
      <c r="Q120">
        <v>2285.15625</v>
      </c>
      <c r="R120">
        <v>-85.556964086471297</v>
      </c>
      <c r="T120">
        <v>4570.3125</v>
      </c>
      <c r="U120">
        <v>-121.455241839839</v>
      </c>
    </row>
    <row r="121" spans="11:21">
      <c r="K121">
        <v>1137.34123935057</v>
      </c>
      <c r="L121">
        <v>-0.84652942432286604</v>
      </c>
      <c r="N121">
        <v>45.792904491196303</v>
      </c>
      <c r="O121">
        <v>-121.973167362401</v>
      </c>
      <c r="Q121">
        <v>2304.6875</v>
      </c>
      <c r="R121">
        <v>-85.969750786522397</v>
      </c>
      <c r="T121">
        <v>4609.375</v>
      </c>
      <c r="U121">
        <v>-123.97531665738801</v>
      </c>
    </row>
    <row r="122" spans="11:21">
      <c r="K122">
        <v>1179.2428450488501</v>
      </c>
      <c r="L122">
        <v>-0.875122544775358</v>
      </c>
      <c r="N122">
        <v>49.955825499076397</v>
      </c>
      <c r="O122">
        <v>-119.695374637784</v>
      </c>
      <c r="Q122">
        <v>2324.21875</v>
      </c>
      <c r="R122">
        <v>-86.379511554168204</v>
      </c>
      <c r="T122">
        <v>4648.4375</v>
      </c>
      <c r="U122">
        <v>-126.75373216051401</v>
      </c>
    </row>
    <row r="123" spans="11:21">
      <c r="K123">
        <v>1222.688177906</v>
      </c>
      <c r="L123">
        <v>-0.90203258932749897</v>
      </c>
      <c r="N123">
        <v>54.497187479644602</v>
      </c>
      <c r="O123">
        <v>-117.41557755481099</v>
      </c>
      <c r="Q123">
        <v>2343.75</v>
      </c>
      <c r="R123">
        <v>-86.786307630879406</v>
      </c>
      <c r="T123">
        <v>4687.5</v>
      </c>
      <c r="U123">
        <v>-129.85232320149299</v>
      </c>
    </row>
    <row r="124" spans="11:21">
      <c r="K124">
        <v>1267.73411148334</v>
      </c>
      <c r="L124">
        <v>-0.92680339763574004</v>
      </c>
      <c r="N124">
        <v>59.451393576639497</v>
      </c>
      <c r="O124">
        <v>-115.13339281559399</v>
      </c>
      <c r="Q124">
        <v>2363.28125</v>
      </c>
      <c r="R124">
        <v>-87.190198629081195</v>
      </c>
      <c r="T124">
        <v>4726.5625</v>
      </c>
      <c r="U124">
        <v>-133.357772247052</v>
      </c>
    </row>
    <row r="125" spans="11:21">
      <c r="K125">
        <v>1314.4396146619299</v>
      </c>
      <c r="L125">
        <v>-0.94893205427131799</v>
      </c>
      <c r="N125">
        <v>64.855974439500699</v>
      </c>
      <c r="O125">
        <v>-112.848363298024</v>
      </c>
      <c r="Q125">
        <v>2382.8125</v>
      </c>
      <c r="R125">
        <v>-87.591242592465207</v>
      </c>
      <c r="T125">
        <v>4765.625</v>
      </c>
      <c r="U125">
        <v>-137.39702097717401</v>
      </c>
    </row>
    <row r="126" spans="11:21">
      <c r="K126">
        <v>1362.8658288377201</v>
      </c>
      <c r="L126">
        <v>-0.96786837607750098</v>
      </c>
      <c r="N126">
        <v>70.751872537264902</v>
      </c>
      <c r="O126">
        <v>-110.55994361706399</v>
      </c>
      <c r="Q126">
        <v>2402.34375</v>
      </c>
      <c r="R126">
        <v>-87.989496053520597</v>
      </c>
      <c r="T126">
        <v>4804.6875</v>
      </c>
      <c r="U126">
        <v>-142.16686052940901</v>
      </c>
    </row>
    <row r="127" spans="11:21">
      <c r="K127">
        <v>1413.07614796078</v>
      </c>
      <c r="L127">
        <v>-0.98301547639471998</v>
      </c>
      <c r="N127">
        <v>77.1837523187465</v>
      </c>
      <c r="O127">
        <v>-108.267482769919</v>
      </c>
      <c r="Q127">
        <v>2421.875</v>
      </c>
      <c r="R127">
        <v>-88.385014088442006</v>
      </c>
      <c r="T127">
        <v>4843.75</v>
      </c>
      <c r="U127">
        <v>-147.99696159680801</v>
      </c>
    </row>
    <row r="128" spans="11:21">
      <c r="K128">
        <v>1465.13630152323</v>
      </c>
      <c r="L128">
        <v>-0.99373180960741803</v>
      </c>
      <c r="N128">
        <v>84.200338568620495</v>
      </c>
      <c r="O128">
        <v>-105.970203237628</v>
      </c>
      <c r="Q128">
        <v>2441.40625</v>
      </c>
      <c r="R128">
        <v>-88.777850369557896</v>
      </c>
      <c r="T128">
        <v>4882.8125</v>
      </c>
      <c r="U128">
        <v>-155.50533141182899</v>
      </c>
    </row>
    <row r="129" spans="11:21">
      <c r="K129">
        <v>1519.1144406046001</v>
      </c>
      <c r="L129">
        <v>-0.99933523499930299</v>
      </c>
      <c r="N129">
        <v>91.854785522631303</v>
      </c>
      <c r="O129">
        <v>-103.667175764653</v>
      </c>
      <c r="Q129">
        <v>2460.9375</v>
      </c>
      <c r="R129">
        <v>-89.168057215413199</v>
      </c>
      <c r="T129">
        <v>4921.875</v>
      </c>
      <c r="U129">
        <v>-166.07940553322001</v>
      </c>
    </row>
    <row r="130" spans="11:21">
      <c r="K130">
        <v>1575.08122708736</v>
      </c>
      <c r="L130">
        <v>-0.99910981987870195</v>
      </c>
      <c r="N130">
        <v>100.205079538159</v>
      </c>
      <c r="O130">
        <v>-101.35728884442</v>
      </c>
      <c r="Q130">
        <v>2480.46875</v>
      </c>
      <c r="R130">
        <v>-89.555685638636902</v>
      </c>
      <c r="T130">
        <v>4960.9375</v>
      </c>
      <c r="U130">
        <v>-184.14636224802399</v>
      </c>
    </row>
    <row r="131" spans="11:21">
      <c r="K131">
        <v>1633.10992615911</v>
      </c>
      <c r="L131">
        <v>-0.99231634163861604</v>
      </c>
      <c r="N131">
        <v>109.31447837059</v>
      </c>
      <c r="O131">
        <v>-99.039211687737804</v>
      </c>
      <c r="Q131">
        <v>2500</v>
      </c>
      <c r="R131">
        <v>-89.940785391709298</v>
      </c>
    </row>
    <row r="132" spans="11:21">
      <c r="K132">
        <v>1693.27650222289</v>
      </c>
      <c r="L132">
        <v>-0.97820776209224902</v>
      </c>
      <c r="N132">
        <v>119.251990383218</v>
      </c>
      <c r="O132">
        <v>-96.711349122371601</v>
      </c>
      <c r="Q132">
        <v>2519.53125</v>
      </c>
      <c r="R132">
        <v>-90.323405010742604</v>
      </c>
    </row>
    <row r="133" spans="11:21">
      <c r="K133">
        <v>1755.6597183408701</v>
      </c>
      <c r="L133">
        <v>-0.95605135061326696</v>
      </c>
      <c r="N133">
        <v>130.09289732095701</v>
      </c>
      <c r="O133">
        <v>-94.371786436384696</v>
      </c>
      <c r="Q133">
        <v>2539.0625</v>
      </c>
      <c r="R133">
        <v>-90.703591857378498</v>
      </c>
    </row>
    <row r="134" spans="11:21">
      <c r="K134">
        <v>1820.34123934179</v>
      </c>
      <c r="L134">
        <v>-0.92515963698724302</v>
      </c>
      <c r="N134">
        <v>141.919324608126</v>
      </c>
      <c r="O134">
        <v>-92.018221593511001</v>
      </c>
      <c r="Q134">
        <v>2558.59375</v>
      </c>
      <c r="R134">
        <v>-91.081392158901593</v>
      </c>
    </row>
    <row r="135" spans="11:21">
      <c r="K135">
        <v>1887.405738727</v>
      </c>
      <c r="L135">
        <v>-0.88493297933075199</v>
      </c>
      <c r="N135">
        <v>154.82086349061601</v>
      </c>
      <c r="O135">
        <v>-89.647881454281105</v>
      </c>
      <c r="Q135">
        <v>2578.125</v>
      </c>
      <c r="R135">
        <v>-91.456851046658699</v>
      </c>
    </row>
    <row r="136" spans="11:21">
      <c r="K136">
        <v>1956.94100951517</v>
      </c>
      <c r="L136">
        <v>-0.83491720544471304</v>
      </c>
      <c r="N136">
        <v>168.89524973548001</v>
      </c>
      <c r="O136">
        <v>-87.257417541119494</v>
      </c>
      <c r="Q136">
        <v>2597.65625</v>
      </c>
      <c r="R136">
        <v>-91.830012592873899</v>
      </c>
    </row>
    <row r="137" spans="11:21">
      <c r="K137">
        <v>2029.03807917064</v>
      </c>
      <c r="L137">
        <v>-0.77488043307908405</v>
      </c>
      <c r="N137">
        <v>184.249104029439</v>
      </c>
      <c r="O137">
        <v>-84.842775352115197</v>
      </c>
      <c r="Q137">
        <v>2617.1875</v>
      </c>
      <c r="R137">
        <v>-92.200919845936795</v>
      </c>
    </row>
    <row r="138" spans="11:21">
      <c r="K138">
        <v>2103.7913287659298</v>
      </c>
      <c r="L138">
        <v>-0.704913581809126</v>
      </c>
      <c r="N138">
        <v>200.99873968521399</v>
      </c>
      <c r="O138">
        <v>-82.399029046621905</v>
      </c>
      <c r="Q138">
        <v>2636.71875</v>
      </c>
      <c r="R138">
        <v>-92.569614864243903</v>
      </c>
    </row>
    <row r="139" spans="11:21">
      <c r="K139">
        <v>2181.2986165344901</v>
      </c>
      <c r="L139">
        <v>-0.62555883173554305</v>
      </c>
      <c r="N139">
        <v>219.27104377446199</v>
      </c>
      <c r="O139">
        <v>-79.920170168079594</v>
      </c>
      <c r="Q139">
        <v>2656.25</v>
      </c>
      <c r="R139">
        <v>-92.936138748662998</v>
      </c>
    </row>
    <row r="140" spans="11:21">
      <c r="K140">
        <v>2261.6614059752501</v>
      </c>
      <c r="L140">
        <v>-0.53796859429991795</v>
      </c>
      <c r="N140">
        <v>239.204438362351</v>
      </c>
      <c r="O140">
        <v>-77.398834411906904</v>
      </c>
      <c r="Q140">
        <v>2675.78125</v>
      </c>
      <c r="R140">
        <v>-93.300531673689804</v>
      </c>
    </row>
    <row r="141" spans="11:21">
      <c r="K141">
        <v>2344.9848986767802</v>
      </c>
      <c r="L141">
        <v>-0.444093171999703</v>
      </c>
      <c r="N141">
        <v>260.94992912562498</v>
      </c>
      <c r="O141">
        <v>-74.825943434343998</v>
      </c>
      <c r="Q141">
        <v>2695.3125</v>
      </c>
      <c r="R141">
        <v>-93.662832917359907</v>
      </c>
    </row>
    <row r="142" spans="11:21">
      <c r="K142">
        <v>2431.3781720349698</v>
      </c>
      <c r="L142">
        <v>-0.346886336853996</v>
      </c>
      <c r="N142">
        <v>284.67224929797402</v>
      </c>
      <c r="O142">
        <v>-72.190227900524206</v>
      </c>
      <c r="Q142">
        <v>2714.84375</v>
      </c>
      <c r="R142">
        <v>-94.023080889976001</v>
      </c>
    </row>
    <row r="143" spans="11:21">
      <c r="K143">
        <v>2520.9543220444202</v>
      </c>
      <c r="L143">
        <v>-0.25050229198860602</v>
      </c>
      <c r="N143">
        <v>310.551107608672</v>
      </c>
      <c r="O143">
        <v>-69.477580920649004</v>
      </c>
      <c r="Q143">
        <v>2734.375</v>
      </c>
      <c r="R143">
        <v>-94.381313161709997</v>
      </c>
    </row>
    <row r="144" spans="11:21">
      <c r="K144">
        <v>2613.4324168189401</v>
      </c>
      <c r="L144">
        <v>-0.16079014381682899</v>
      </c>
      <c r="N144">
        <v>338.78254966828501</v>
      </c>
      <c r="O144">
        <v>-66.670163333795799</v>
      </c>
      <c r="Q144">
        <v>2753.90625</v>
      </c>
      <c r="R144">
        <v>-94.737566489128994</v>
      </c>
    </row>
    <row r="145" spans="11:18">
      <c r="K145">
        <v>2627.2525830718</v>
      </c>
      <c r="L145">
        <v>-0.14857096524724001</v>
      </c>
      <c r="N145">
        <v>369.58044311460498</v>
      </c>
      <c r="O145">
        <v>-63.745135872666403</v>
      </c>
      <c r="Q145">
        <v>2773.4375</v>
      </c>
      <c r="R145">
        <v>-95.091876840701104</v>
      </c>
    </row>
    <row r="146" spans="11:18">
      <c r="K146">
        <v>2706.1427454125701</v>
      </c>
      <c r="L146">
        <v>-8.6279759473750203E-2</v>
      </c>
      <c r="N146">
        <v>403.17809776958001</v>
      </c>
      <c r="O146">
        <v>-60.672812506942797</v>
      </c>
      <c r="Q146">
        <v>2792.96875</v>
      </c>
      <c r="R146">
        <v>-95.444279421325206</v>
      </c>
    </row>
    <row r="147" spans="11:18">
      <c r="K147">
        <v>2787.4017921743798</v>
      </c>
      <c r="L147">
        <v>-3.7824473945484501E-2</v>
      </c>
      <c r="N147">
        <v>439.83003308075502</v>
      </c>
      <c r="O147">
        <v>-57.413882804914998</v>
      </c>
      <c r="Q147">
        <v>2812.5</v>
      </c>
      <c r="R147">
        <v>-95.794808695931394</v>
      </c>
    </row>
    <row r="148" spans="11:18">
      <c r="K148">
        <v>2871.10085533659</v>
      </c>
      <c r="L148">
        <v>-7.78449593293938E-3</v>
      </c>
      <c r="N148">
        <v>477.29331255404799</v>
      </c>
      <c r="O148">
        <v>-54.134928239097903</v>
      </c>
      <c r="Q148">
        <v>2832.03125</v>
      </c>
      <c r="R148">
        <v>-96.143498412195399</v>
      </c>
    </row>
    <row r="149" spans="11:18">
      <c r="K149">
        <v>2957.31320280316</v>
      </c>
      <c r="L149">
        <v>-5.8263873201311496E-4</v>
      </c>
      <c r="N149">
        <v>496.93338146086199</v>
      </c>
      <c r="O149">
        <v>-52.421670149267598</v>
      </c>
      <c r="Q149">
        <v>2851.5625</v>
      </c>
      <c r="R149">
        <v>-96.490381622406602</v>
      </c>
    </row>
    <row r="150" spans="11:18">
      <c r="K150">
        <v>3046.1143025394099</v>
      </c>
      <c r="L150">
        <v>-1.9967963641725799E-2</v>
      </c>
      <c r="N150">
        <v>524.10765962995004</v>
      </c>
      <c r="O150">
        <v>-50.042712945048301</v>
      </c>
      <c r="Q150">
        <v>2871.09375</v>
      </c>
      <c r="R150">
        <v>-96.835490704528794</v>
      </c>
    </row>
    <row r="151" spans="11:18">
      <c r="K151">
        <v>3137.5818886345901</v>
      </c>
      <c r="L151">
        <v>-6.8397500435590106E-2</v>
      </c>
      <c r="N151">
        <v>552.76793455747804</v>
      </c>
      <c r="O151">
        <v>-47.506119551813597</v>
      </c>
      <c r="Q151">
        <v>2890.625</v>
      </c>
      <c r="R151">
        <v>-97.178857382489596</v>
      </c>
    </row>
    <row r="152" spans="11:18">
      <c r="K152">
        <v>3231.7960293482602</v>
      </c>
      <c r="L152">
        <v>-0.14639317588704401</v>
      </c>
      <c r="N152">
        <v>580.04762709004001</v>
      </c>
      <c r="O152">
        <v>-45.047036678251601</v>
      </c>
      <c r="Q152">
        <v>2910.15625</v>
      </c>
      <c r="R152">
        <v>-97.520512745733399</v>
      </c>
    </row>
    <row r="153" spans="11:18">
      <c r="K153">
        <v>3328.8391971998399</v>
      </c>
      <c r="L153">
        <v>-0.25197666772971899</v>
      </c>
      <c r="N153">
        <v>605.48851245729497</v>
      </c>
      <c r="O153">
        <v>-42.697404078646301</v>
      </c>
      <c r="Q153">
        <v>2929.6875</v>
      </c>
      <c r="R153">
        <v>-97.860487268069804</v>
      </c>
    </row>
    <row r="154" spans="11:18">
      <c r="K154">
        <v>3428.7963411629098</v>
      </c>
      <c r="L154">
        <v>-0.38028107906146003</v>
      </c>
      <c r="N154">
        <v>632.78055213937796</v>
      </c>
      <c r="O154">
        <v>-40.096389952707298</v>
      </c>
      <c r="Q154">
        <v>2949.21875</v>
      </c>
      <c r="R154">
        <v>-98.198810825849904</v>
      </c>
    </row>
    <row r="155" spans="11:18">
      <c r="K155">
        <v>3531.7549610271299</v>
      </c>
      <c r="L155">
        <v>-0.52339788852478897</v>
      </c>
      <c r="N155">
        <v>661.302764507951</v>
      </c>
      <c r="O155">
        <v>-37.2633570469186</v>
      </c>
      <c r="Q155">
        <v>2968.75</v>
      </c>
      <c r="R155">
        <v>-98.535512715497504</v>
      </c>
    </row>
    <row r="156" spans="11:18">
      <c r="K156">
        <v>3637.80518399333</v>
      </c>
      <c r="L156">
        <v>-0.67045406655555095</v>
      </c>
      <c r="N156">
        <v>691.11059887556803</v>
      </c>
      <c r="O156">
        <v>-34.14184607264</v>
      </c>
      <c r="Q156">
        <v>2988.28125</v>
      </c>
      <c r="R156">
        <v>-98.870621670426502</v>
      </c>
    </row>
    <row r="157" spans="11:18">
      <c r="K157">
        <v>3747.0398435683201</v>
      </c>
      <c r="L157">
        <v>-0.80785823108914301</v>
      </c>
      <c r="N157">
        <v>722.26200390003703</v>
      </c>
      <c r="O157">
        <v>-30.653793179450201</v>
      </c>
      <c r="Q157">
        <v>3007.8125</v>
      </c>
      <c r="R157">
        <v>-99.204165877367402</v>
      </c>
    </row>
    <row r="158" spans="11:18">
      <c r="K158">
        <v>3859.5545608288999</v>
      </c>
      <c r="L158">
        <v>-0.91964224793725402</v>
      </c>
      <c r="N158">
        <v>754.81754024093698</v>
      </c>
      <c r="O158">
        <v>-26.687496210064499</v>
      </c>
      <c r="Q158">
        <v>3027.34375</v>
      </c>
      <c r="R158">
        <v>-99.536172992130901</v>
      </c>
    </row>
    <row r="159" spans="11:18">
      <c r="K159">
        <v>3975.4478281259799</v>
      </c>
      <c r="L159">
        <v>-0.98789159443915098</v>
      </c>
      <c r="N159">
        <v>788.84049829407002</v>
      </c>
      <c r="O159">
        <v>-22.077639758835598</v>
      </c>
      <c r="Q159">
        <v>3046.875</v>
      </c>
      <c r="R159">
        <v>-99.866670154830601</v>
      </c>
    </row>
    <row r="160" spans="11:18">
      <c r="K160">
        <v>4094.8210953020798</v>
      </c>
      <c r="L160">
        <v>-0.99346160372548198</v>
      </c>
      <c r="N160">
        <v>824.39702123271695</v>
      </c>
      <c r="O160">
        <v>-16.5792942154971</v>
      </c>
      <c r="Q160">
        <v>3066.40625</v>
      </c>
      <c r="R160">
        <v>-100.195684004589</v>
      </c>
    </row>
    <row r="161" spans="11:18">
      <c r="K161">
        <v>4217.7788584978598</v>
      </c>
      <c r="L161">
        <v>-0.91767059323012201</v>
      </c>
      <c r="N161">
        <v>861.55623359491699</v>
      </c>
      <c r="O161">
        <v>-9.9249332008924505</v>
      </c>
      <c r="Q161">
        <v>3085.9375</v>
      </c>
      <c r="R161">
        <v>-100.52324069374799</v>
      </c>
    </row>
    <row r="162" spans="11:18">
      <c r="K162">
        <v>4344.4287516251297</v>
      </c>
      <c r="L162">
        <v>-0.74686497332075896</v>
      </c>
      <c r="N162">
        <v>900.39037566673403</v>
      </c>
      <c r="O162">
        <v>-2.9540470081533798</v>
      </c>
      <c r="Q162">
        <v>3105.46875</v>
      </c>
      <c r="R162">
        <v>-100.849365901602</v>
      </c>
    </row>
    <row r="163" spans="11:18">
      <c r="K163">
        <v>4474.8816405867701</v>
      </c>
      <c r="L163">
        <v>-0.48464325747581499</v>
      </c>
      <c r="N163">
        <v>940.97494392275803</v>
      </c>
      <c r="O163">
        <v>-0.125941974108222</v>
      </c>
      <c r="Q163">
        <v>3125</v>
      </c>
      <c r="R163">
        <v>-101.17408484768001</v>
      </c>
    </row>
    <row r="164" spans="11:18">
      <c r="K164">
        <v>4609.2517203256903</v>
      </c>
      <c r="L164">
        <v>-0.18228945077716699</v>
      </c>
      <c r="N164">
        <v>983.38883779691605</v>
      </c>
      <c r="O164" s="47">
        <v>-1.0953143791372499E-5</v>
      </c>
      <c r="Q164">
        <v>3144.53125</v>
      </c>
      <c r="R164">
        <v>-101.49742230458899</v>
      </c>
    </row>
    <row r="165" spans="11:18">
      <c r="K165">
        <v>4747.6566147880403</v>
      </c>
      <c r="L165">
        <v>-6.7444070994647899E-4</v>
      </c>
      <c r="N165">
        <v>1027.71451306886</v>
      </c>
      <c r="O165">
        <v>-4.8435276943533797E-3</v>
      </c>
      <c r="Q165">
        <v>3164.0625</v>
      </c>
      <c r="R165">
        <v>-101.819402610431</v>
      </c>
    </row>
    <row r="166" spans="11:18">
      <c r="K166">
        <v>4890.2174798880296</v>
      </c>
      <c r="L166">
        <v>-0.27011595785205</v>
      </c>
      <c r="N166">
        <v>1074.03814216414</v>
      </c>
      <c r="O166">
        <v>-0.77318448877702595</v>
      </c>
      <c r="Q166">
        <v>3183.59375</v>
      </c>
      <c r="R166">
        <v>-102.14004968083501</v>
      </c>
    </row>
    <row r="167" spans="11:18">
      <c r="K167">
        <v>5037.0591095645304</v>
      </c>
      <c r="L167">
        <v>-1.3582759918360601</v>
      </c>
      <c r="N167">
        <v>1122.4497816799001</v>
      </c>
      <c r="O167">
        <v>-6.0420068817451904</v>
      </c>
      <c r="Q167">
        <v>3203.125</v>
      </c>
      <c r="R167">
        <v>-102.459387020584</v>
      </c>
    </row>
    <row r="168" spans="11:18">
      <c r="K168">
        <v>5188.3100450223801</v>
      </c>
      <c r="L168">
        <v>-3.2881398078065001</v>
      </c>
      <c r="N168">
        <v>1173.0435474615599</v>
      </c>
      <c r="O168">
        <v>-13.1901933381174</v>
      </c>
      <c r="Q168">
        <v>3222.65625</v>
      </c>
      <c r="R168">
        <v>-102.777437734884</v>
      </c>
    </row>
    <row r="169" spans="11:18">
      <c r="K169">
        <v>5344.1026872537996</v>
      </c>
      <c r="L169">
        <v>-5.7063262988219696</v>
      </c>
      <c r="N169">
        <v>1225.91779757112</v>
      </c>
      <c r="O169">
        <v>-19.282716092305201</v>
      </c>
      <c r="Q169">
        <v>3242.1875</v>
      </c>
      <c r="R169">
        <v>-103.094224540274</v>
      </c>
    </row>
    <row r="170" spans="11:18">
      <c r="K170">
        <v>5504.5734129387702</v>
      </c>
      <c r="L170">
        <v>-8.2633793915187006</v>
      </c>
      <c r="N170">
        <v>1277.3847125846601</v>
      </c>
      <c r="O170">
        <v>-24.0165530645925</v>
      </c>
      <c r="Q170">
        <v>3261.71875</v>
      </c>
      <c r="R170">
        <v>-103.40976977519099</v>
      </c>
    </row>
    <row r="171" spans="11:18">
      <c r="K171">
        <v>5669.8626938254001</v>
      </c>
      <c r="L171">
        <v>-10.7788162530059</v>
      </c>
      <c r="N171">
        <v>1301.8511658161699</v>
      </c>
      <c r="O171">
        <v>-25.960105909322301</v>
      </c>
      <c r="Q171">
        <v>3281.25</v>
      </c>
      <c r="R171">
        <v>-103.724095410213</v>
      </c>
    </row>
    <row r="172" spans="11:18">
      <c r="K172">
        <v>5840.1152196951498</v>
      </c>
      <c r="L172">
        <v>-13.1891867220876</v>
      </c>
      <c r="N172">
        <v>1360.5313437991199</v>
      </c>
      <c r="O172">
        <v>-30.021577959623801</v>
      </c>
      <c r="Q172">
        <v>3300.78125</v>
      </c>
      <c r="R172">
        <v>-104.03722305798</v>
      </c>
    </row>
    <row r="173" spans="11:18">
      <c r="K173">
        <v>6015.4800250203798</v>
      </c>
      <c r="L173">
        <v>-15.482933547035801</v>
      </c>
      <c r="N173">
        <v>1421.85649639862</v>
      </c>
      <c r="O173">
        <v>-33.581355640869397</v>
      </c>
      <c r="Q173">
        <v>3320.3125</v>
      </c>
      <c r="R173">
        <v>-104.349173982813</v>
      </c>
    </row>
    <row r="174" spans="11:18">
      <c r="K174">
        <v>6196.1106194250797</v>
      </c>
      <c r="L174">
        <v>-17.6671691981104</v>
      </c>
      <c r="N174">
        <v>1485.94584429467</v>
      </c>
      <c r="O174">
        <v>-36.758524716500901</v>
      </c>
      <c r="Q174">
        <v>3339.84375</v>
      </c>
      <c r="R174">
        <v>-104.659969110049</v>
      </c>
    </row>
    <row r="175" spans="11:18">
      <c r="K175">
        <v>6382.1651220631102</v>
      </c>
      <c r="L175">
        <v>-19.754225530154699</v>
      </c>
      <c r="N175">
        <v>1556.7560762237299</v>
      </c>
      <c r="O175">
        <v>-39.789092642443002</v>
      </c>
      <c r="Q175">
        <v>3359.375</v>
      </c>
      <c r="R175">
        <v>-104.96962903508199</v>
      </c>
    </row>
    <row r="176" spans="11:18">
      <c r="K176">
        <v>6573.8064000313198</v>
      </c>
      <c r="L176">
        <v>-21.756749390669299</v>
      </c>
      <c r="N176">
        <v>1662.3708436767899</v>
      </c>
      <c r="O176">
        <v>-43.624245009280301</v>
      </c>
      <c r="Q176">
        <v>3378.90625</v>
      </c>
      <c r="R176">
        <v>-105.278174032145</v>
      </c>
    </row>
    <row r="177" spans="11:18">
      <c r="K177">
        <v>6771.2022109392201</v>
      </c>
      <c r="L177">
        <v>-23.686123826607499</v>
      </c>
      <c r="N177">
        <v>1807.67932301576</v>
      </c>
      <c r="O177">
        <v>-47.960829478733999</v>
      </c>
      <c r="Q177">
        <v>3398.4375</v>
      </c>
      <c r="R177">
        <v>-105.585624062828</v>
      </c>
    </row>
    <row r="178" spans="11:18">
      <c r="K178">
        <v>6974.5253497592603</v>
      </c>
      <c r="L178">
        <v>-25.552122457925801</v>
      </c>
      <c r="N178">
        <v>1972.01103145194</v>
      </c>
      <c r="O178">
        <v>-51.977009836107698</v>
      </c>
      <c r="Q178">
        <v>3417.96875</v>
      </c>
      <c r="R178">
        <v>-105.891998784348</v>
      </c>
    </row>
    <row r="179" spans="11:18">
      <c r="K179">
        <v>7183.9538000870198</v>
      </c>
      <c r="L179">
        <v>-27.362992007699798</v>
      </c>
      <c r="N179">
        <v>2151.28173379799</v>
      </c>
      <c r="O179">
        <v>-55.628230262493801</v>
      </c>
      <c r="Q179">
        <v>3437.5</v>
      </c>
      <c r="R179">
        <v>-106.19731755757699</v>
      </c>
    </row>
    <row r="180" spans="11:18">
      <c r="K180">
        <v>7399.6708899432497</v>
      </c>
      <c r="L180">
        <v>-29.1256588970504</v>
      </c>
      <c r="N180">
        <v>2346.8494974723499</v>
      </c>
      <c r="O180">
        <v>-59.004149429251903</v>
      </c>
      <c r="Q180">
        <v>3457.03125</v>
      </c>
      <c r="R180">
        <v>-106.50159945483701</v>
      </c>
    </row>
    <row r="181" spans="11:18">
      <c r="K181">
        <v>7621.8654522542101</v>
      </c>
      <c r="L181">
        <v>-30.845948940443598</v>
      </c>
      <c r="N181">
        <v>2560.19584848267</v>
      </c>
      <c r="O181">
        <v>-62.167861670997901</v>
      </c>
      <c r="Q181">
        <v>3476.5625</v>
      </c>
      <c r="R181">
        <v>-106.804863267475</v>
      </c>
    </row>
    <row r="182" spans="11:18">
      <c r="K182">
        <v>7790.3945200498601</v>
      </c>
      <c r="L182">
        <v>-32.093302663590897</v>
      </c>
      <c r="N182">
        <v>2792.9369947444202</v>
      </c>
      <c r="O182">
        <v>-65.165261837193398</v>
      </c>
      <c r="Q182">
        <v>3496.09375</v>
      </c>
      <c r="R182">
        <v>-107.107127513225</v>
      </c>
    </row>
    <row r="183" spans="11:18">
      <c r="K183">
        <v>8014.3920217510604</v>
      </c>
      <c r="L183">
        <v>-33.682425836007702</v>
      </c>
      <c r="N183">
        <v>3046.83606968392</v>
      </c>
      <c r="O183">
        <v>-68.0306155183806</v>
      </c>
      <c r="Q183">
        <v>3515.625</v>
      </c>
      <c r="R183">
        <v>-107.408410443355</v>
      </c>
    </row>
    <row r="184" spans="11:18">
      <c r="K184">
        <v>8309.6559959990609</v>
      </c>
      <c r="L184">
        <v>-35.670014278473097</v>
      </c>
      <c r="N184">
        <v>3323.8164888773099</v>
      </c>
      <c r="O184">
        <v>-70.790044207633102</v>
      </c>
      <c r="Q184">
        <v>3535.15625</v>
      </c>
      <c r="R184">
        <v>-107.708730049626</v>
      </c>
    </row>
    <row r="185" spans="11:18">
      <c r="K185">
        <v>8363.4752106393898</v>
      </c>
      <c r="L185">
        <v>-36.020303224551</v>
      </c>
      <c r="N185">
        <v>3625.9765209090401</v>
      </c>
      <c r="O185">
        <v>-73.463798840116496</v>
      </c>
      <c r="Q185">
        <v>3554.6875</v>
      </c>
      <c r="R185">
        <v>-108.008104071048</v>
      </c>
    </row>
    <row r="186" spans="11:18">
      <c r="K186">
        <v>8672.5903702071391</v>
      </c>
      <c r="L186">
        <v>-37.967138559208998</v>
      </c>
      <c r="N186">
        <v>3955.6051828314298</v>
      </c>
      <c r="O186">
        <v>-76.067795813387903</v>
      </c>
      <c r="Q186">
        <v>3574.21875</v>
      </c>
      <c r="R186">
        <v>-108.306550000459</v>
      </c>
    </row>
    <row r="187" spans="11:18">
      <c r="K187">
        <v>9007.9981866347898</v>
      </c>
      <c r="L187">
        <v>-39.965483797601202</v>
      </c>
      <c r="N187">
        <v>4315.1995806415498</v>
      </c>
      <c r="O187">
        <v>-78.6146861223624</v>
      </c>
      <c r="Q187">
        <v>3593.75</v>
      </c>
      <c r="R187">
        <v>-108.604085090919</v>
      </c>
    </row>
    <row r="188" spans="11:18">
      <c r="K188">
        <v>9356.3777218360101</v>
      </c>
      <c r="L188">
        <v>-41.930403158963699</v>
      </c>
      <c r="N188">
        <v>4707.4838261386403</v>
      </c>
      <c r="O188">
        <v>-81.114618818593101</v>
      </c>
      <c r="Q188">
        <v>3613.28125</v>
      </c>
      <c r="R188">
        <v>-108.900726361941</v>
      </c>
    </row>
    <row r="189" spans="11:18">
      <c r="K189">
        <v>9718.2306501299408</v>
      </c>
      <c r="L189">
        <v>-43.8657681778257</v>
      </c>
      <c r="N189">
        <v>5135.4296734664904</v>
      </c>
      <c r="O189">
        <v>-83.575798398159193</v>
      </c>
      <c r="Q189">
        <v>3632.8125</v>
      </c>
      <c r="R189">
        <v>-109.19649060554499</v>
      </c>
    </row>
    <row r="190" spans="11:18">
      <c r="K190">
        <v>10094.078047823001</v>
      </c>
      <c r="L190">
        <v>-45.774882590188298</v>
      </c>
      <c r="N190">
        <v>5602.2790316738301</v>
      </c>
      <c r="O190">
        <v>-86.004899647841896</v>
      </c>
      <c r="Q190">
        <v>3652.34375</v>
      </c>
      <c r="R190">
        <v>-109.491394392161</v>
      </c>
    </row>
    <row r="191" spans="11:18">
      <c r="K191">
        <v>10484.461143570399</v>
      </c>
      <c r="L191">
        <v>-47.6605862422618</v>
      </c>
      <c r="N191">
        <v>6111.5685238362103</v>
      </c>
      <c r="O191">
        <v>-88.407381620727705</v>
      </c>
      <c r="Q191">
        <v>3671.875</v>
      </c>
      <c r="R191">
        <v>-109.785454076373</v>
      </c>
    </row>
    <row r="192" spans="11:18">
      <c r="K192">
        <v>10889.942097757499</v>
      </c>
      <c r="L192">
        <v>-49.525336412905503</v>
      </c>
      <c r="N192">
        <v>6667.1562787878302</v>
      </c>
      <c r="O192">
        <v>-90.787728764483404</v>
      </c>
      <c r="Q192">
        <v>3691.40625</v>
      </c>
      <c r="R192">
        <v>-110.07868580251601</v>
      </c>
    </row>
    <row r="193" spans="11:18">
      <c r="K193">
        <v>11311.104812023301</v>
      </c>
      <c r="L193">
        <v>-51.3712721060406</v>
      </c>
      <c r="N193">
        <v>7273.2511584240701</v>
      </c>
      <c r="O193">
        <v>-93.149638474449205</v>
      </c>
      <c r="Q193">
        <v>3710.9375</v>
      </c>
      <c r="R193">
        <v>-110.37110551012501</v>
      </c>
    </row>
    <row r="194" spans="11:18">
      <c r="K194">
        <v>11748.555770092</v>
      </c>
      <c r="L194">
        <v>-53.200265378102301</v>
      </c>
      <c r="N194">
        <v>7934.44464198689</v>
      </c>
      <c r="O194">
        <v>-95.496168597205497</v>
      </c>
      <c r="Q194">
        <v>3730.46875</v>
      </c>
      <c r="R194">
        <v>-110.662728939256</v>
      </c>
    </row>
    <row r="195" spans="11:18">
      <c r="K195">
        <v>12202.9249111231</v>
      </c>
      <c r="L195">
        <v>-55.013962698354099</v>
      </c>
      <c r="N195">
        <v>8655.7456088722502</v>
      </c>
      <c r="O195">
        <v>-97.829854554626095</v>
      </c>
      <c r="Q195">
        <v>3750</v>
      </c>
      <c r="R195">
        <v>-110.95357163566</v>
      </c>
    </row>
    <row r="196" spans="11:18">
      <c r="K196">
        <v>12674.8665368374</v>
      </c>
      <c r="L196">
        <v>-56.813818572576999</v>
      </c>
      <c r="N196">
        <v>9442.6182834580595</v>
      </c>
      <c r="O196">
        <v>-100.15280312015599</v>
      </c>
      <c r="Q196">
        <v>3769.53125</v>
      </c>
      <c r="R196">
        <v>-111.24364895583901</v>
      </c>
    </row>
    <row r="197" spans="11:18">
      <c r="K197">
        <v>13165.060253727001</v>
      </c>
      <c r="L197">
        <v>-58.601123105195299</v>
      </c>
      <c r="N197">
        <v>10301.0236294033</v>
      </c>
      <c r="O197">
        <v>-102.466768040844</v>
      </c>
      <c r="Q197">
        <v>3789.0625</v>
      </c>
      <c r="R197">
        <v>-111.532976071969</v>
      </c>
    </row>
    <row r="198" spans="11:18">
      <c r="K198">
        <v>13674.211951703001</v>
      </c>
      <c r="L198">
        <v>-60.377024769499599</v>
      </c>
      <c r="N198">
        <v>11237.464507001599</v>
      </c>
      <c r="O198">
        <v>-104.77321139625801</v>
      </c>
      <c r="Q198">
        <v>3808.59375</v>
      </c>
      <c r="R198">
        <v>-111.82156797670901</v>
      </c>
    </row>
    <row r="199" spans="11:18">
      <c r="K199">
        <v>14203.054820593101</v>
      </c>
      <c r="L199">
        <v>-62.142549357202498</v>
      </c>
      <c r="N199">
        <v>12259.0349356802</v>
      </c>
      <c r="O199">
        <v>-107.073353648151</v>
      </c>
      <c r="Q199">
        <v>3828.125</v>
      </c>
      <c r="R199">
        <v>-112.10943948789</v>
      </c>
    </row>
    <row r="200" spans="11:18">
      <c r="K200">
        <v>14752.3504059516</v>
      </c>
      <c r="L200">
        <v>-63.898615856885002</v>
      </c>
      <c r="N200">
        <v>13373.4738348308</v>
      </c>
      <c r="O200">
        <v>-109.368214650257</v>
      </c>
      <c r="Q200">
        <v>3847.65625</v>
      </c>
      <c r="R200">
        <v>-112.39660525309399</v>
      </c>
    </row>
    <row r="201" spans="11:18">
      <c r="K201">
        <v>15322.8897057015</v>
      </c>
      <c r="L201">
        <v>-65.646049844785395</v>
      </c>
      <c r="N201">
        <v>14589.22365009</v>
      </c>
      <c r="O201">
        <v>-111.65864738091599</v>
      </c>
      <c r="Q201">
        <v>3867.1875</v>
      </c>
      <c r="R201">
        <v>-112.683079754123</v>
      </c>
    </row>
    <row r="202" spans="11:18">
      <c r="K202">
        <v>15915.4943091895</v>
      </c>
      <c r="L202">
        <v>-67.385594845811298</v>
      </c>
      <c r="N202">
        <v>15915.4943091895</v>
      </c>
      <c r="O202">
        <v>-113.945365781216</v>
      </c>
      <c r="Q202">
        <v>3886.71875</v>
      </c>
      <c r="R202">
        <v>-112.968877311366</v>
      </c>
    </row>
    <row r="203" spans="11:18">
      <c r="Q203">
        <v>3906.25</v>
      </c>
      <c r="R203">
        <v>-113.25401208805999</v>
      </c>
    </row>
    <row r="204" spans="11:18">
      <c r="Q204">
        <v>3925.78125</v>
      </c>
      <c r="R204">
        <v>-113.538498094464</v>
      </c>
    </row>
    <row r="205" spans="11:18">
      <c r="Q205">
        <v>3945.3125</v>
      </c>
      <c r="R205">
        <v>-113.822349191924</v>
      </c>
    </row>
    <row r="206" spans="11:18">
      <c r="Q206">
        <v>3964.84375</v>
      </c>
      <c r="R206">
        <v>-114.10557909686</v>
      </c>
    </row>
    <row r="207" spans="11:18">
      <c r="Q207">
        <v>3984.375</v>
      </c>
      <c r="R207">
        <v>-114.38820138465999</v>
      </c>
    </row>
    <row r="208" spans="11:18">
      <c r="Q208">
        <v>4003.90625</v>
      </c>
      <c r="R208">
        <v>-114.670229493485</v>
      </c>
    </row>
    <row r="209" spans="17:18">
      <c r="Q209">
        <v>4023.4375</v>
      </c>
      <c r="R209">
        <v>-114.951676728005</v>
      </c>
    </row>
    <row r="210" spans="17:18">
      <c r="Q210">
        <v>4042.96875</v>
      </c>
      <c r="R210">
        <v>-115.232556263039</v>
      </c>
    </row>
    <row r="211" spans="17:18">
      <c r="Q211">
        <v>4062.5</v>
      </c>
      <c r="R211">
        <v>-115.51288114713201</v>
      </c>
    </row>
    <row r="212" spans="17:18">
      <c r="Q212">
        <v>4082.03125</v>
      </c>
      <c r="R212">
        <v>-115.792664306052</v>
      </c>
    </row>
    <row r="213" spans="17:18">
      <c r="Q213">
        <v>4101.5625</v>
      </c>
      <c r="R213">
        <v>-116.071918546218</v>
      </c>
    </row>
    <row r="214" spans="17:18">
      <c r="Q214">
        <v>4121.09375</v>
      </c>
      <c r="R214">
        <v>-116.350656558059</v>
      </c>
    </row>
    <row r="215" spans="17:18">
      <c r="Q215">
        <v>4140.625</v>
      </c>
      <c r="R215">
        <v>-116.628890919304</v>
      </c>
    </row>
    <row r="216" spans="17:18">
      <c r="Q216">
        <v>4160.15625</v>
      </c>
      <c r="R216">
        <v>-116.906634098211</v>
      </c>
    </row>
    <row r="217" spans="17:18">
      <c r="Q217">
        <v>4179.6875</v>
      </c>
      <c r="R217">
        <v>-117.183898456737</v>
      </c>
    </row>
    <row r="218" spans="17:18">
      <c r="Q218">
        <v>4199.21875</v>
      </c>
      <c r="R218">
        <v>-117.46069625363801</v>
      </c>
    </row>
    <row r="219" spans="17:18">
      <c r="Q219">
        <v>4218.75</v>
      </c>
      <c r="R219">
        <v>-117.73703964752301</v>
      </c>
    </row>
    <row r="220" spans="17:18">
      <c r="Q220">
        <v>4238.28125</v>
      </c>
      <c r="R220">
        <v>-118.012940699848</v>
      </c>
    </row>
    <row r="221" spans="17:18">
      <c r="Q221">
        <v>4257.8125</v>
      </c>
      <c r="R221">
        <v>-118.288411377852</v>
      </c>
    </row>
    <row r="222" spans="17:18">
      <c r="Q222">
        <v>4277.34375</v>
      </c>
      <c r="R222">
        <v>-118.563463557448</v>
      </c>
    </row>
    <row r="223" spans="17:18">
      <c r="Q223">
        <v>4296.875</v>
      </c>
      <c r="R223">
        <v>-118.838109026062</v>
      </c>
    </row>
    <row r="224" spans="17:18">
      <c r="Q224">
        <v>4316.40625</v>
      </c>
      <c r="R224">
        <v>-119.11235948542399</v>
      </c>
    </row>
    <row r="225" spans="17:18">
      <c r="Q225">
        <v>4335.9375</v>
      </c>
      <c r="R225">
        <v>-119.386226554309</v>
      </c>
    </row>
    <row r="226" spans="17:18">
      <c r="Q226">
        <v>4355.46875</v>
      </c>
      <c r="R226">
        <v>-119.65972177124</v>
      </c>
    </row>
    <row r="227" spans="17:18">
      <c r="Q227">
        <v>4375</v>
      </c>
      <c r="R227">
        <v>-119.932856597146</v>
      </c>
    </row>
    <row r="228" spans="17:18">
      <c r="Q228">
        <v>4394.53125</v>
      </c>
      <c r="R228">
        <v>-120.205642417973</v>
      </c>
    </row>
    <row r="229" spans="17:18">
      <c r="Q229">
        <v>4414.0625</v>
      </c>
      <c r="R229">
        <v>-120.478090547267</v>
      </c>
    </row>
    <row r="230" spans="17:18">
      <c r="Q230">
        <v>4433.59375</v>
      </c>
      <c r="R230">
        <v>-120.750212228706</v>
      </c>
    </row>
    <row r="231" spans="17:18">
      <c r="Q231">
        <v>4453.125</v>
      </c>
      <c r="R231">
        <v>-121.022018638603</v>
      </c>
    </row>
    <row r="232" spans="17:18">
      <c r="Q232">
        <v>4472.65625</v>
      </c>
      <c r="R232">
        <v>-121.293520888375</v>
      </c>
    </row>
    <row r="233" spans="17:18">
      <c r="Q233">
        <v>4492.1875</v>
      </c>
      <c r="R233">
        <v>-121.56473002697101</v>
      </c>
    </row>
    <row r="234" spans="17:18">
      <c r="Q234">
        <v>4511.71875</v>
      </c>
      <c r="R234">
        <v>-121.835657043278</v>
      </c>
    </row>
    <row r="235" spans="17:18">
      <c r="Q235">
        <v>4531.25</v>
      </c>
      <c r="R235">
        <v>-122.10631286848199</v>
      </c>
    </row>
    <row r="236" spans="17:18">
      <c r="Q236">
        <v>4550.78125</v>
      </c>
      <c r="R236">
        <v>-122.376708378415</v>
      </c>
    </row>
    <row r="237" spans="17:18">
      <c r="Q237">
        <v>4570.3125</v>
      </c>
      <c r="R237">
        <v>-122.64685439586199</v>
      </c>
    </row>
    <row r="238" spans="17:18">
      <c r="Q238">
        <v>4589.84375</v>
      </c>
      <c r="R238">
        <v>-122.916761692845</v>
      </c>
    </row>
    <row r="239" spans="17:18">
      <c r="Q239">
        <v>4609.375</v>
      </c>
      <c r="R239">
        <v>-123.186440992882</v>
      </c>
    </row>
    <row r="240" spans="17:18">
      <c r="Q240">
        <v>4628.90625</v>
      </c>
      <c r="R240">
        <v>-123.455902973221</v>
      </c>
    </row>
    <row r="241" spans="17:18">
      <c r="Q241">
        <v>4648.4375</v>
      </c>
      <c r="R241">
        <v>-123.725158267048</v>
      </c>
    </row>
    <row r="242" spans="17:18">
      <c r="Q242">
        <v>4667.96875</v>
      </c>
      <c r="R242">
        <v>-123.994217465674</v>
      </c>
    </row>
    <row r="243" spans="17:18">
      <c r="Q243">
        <v>4687.5</v>
      </c>
      <c r="R243">
        <v>-124.26309112070599</v>
      </c>
    </row>
    <row r="244" spans="17:18">
      <c r="Q244">
        <v>4707.03125</v>
      </c>
      <c r="R244">
        <v>-124.53178974618601</v>
      </c>
    </row>
    <row r="245" spans="17:18">
      <c r="Q245">
        <v>4726.5625</v>
      </c>
      <c r="R245">
        <v>-124.80032382072601</v>
      </c>
    </row>
    <row r="246" spans="17:18">
      <c r="Q246">
        <v>4746.09375</v>
      </c>
      <c r="R246">
        <v>-125.06870378961101</v>
      </c>
    </row>
    <row r="247" spans="17:18">
      <c r="Q247">
        <v>4765.625</v>
      </c>
      <c r="R247">
        <v>-125.33694006689601</v>
      </c>
    </row>
    <row r="248" spans="17:18">
      <c r="Q248">
        <v>4785.15625</v>
      </c>
      <c r="R248">
        <v>-125.605043037483</v>
      </c>
    </row>
    <row r="249" spans="17:18">
      <c r="Q249">
        <v>4804.6875</v>
      </c>
      <c r="R249">
        <v>-125.87302305918099</v>
      </c>
    </row>
    <row r="250" spans="17:18">
      <c r="Q250">
        <v>4824.21875</v>
      </c>
      <c r="R250">
        <v>-126.140890464756</v>
      </c>
    </row>
    <row r="251" spans="17:18">
      <c r="Q251">
        <v>4843.75</v>
      </c>
      <c r="R251">
        <v>-126.408655563968</v>
      </c>
    </row>
    <row r="252" spans="17:18">
      <c r="Q252">
        <v>4863.28125</v>
      </c>
      <c r="R252">
        <v>-126.676328645594</v>
      </c>
    </row>
    <row r="253" spans="17:18">
      <c r="Q253">
        <v>4882.8125</v>
      </c>
      <c r="R253">
        <v>-126.943919979444</v>
      </c>
    </row>
    <row r="254" spans="17:18">
      <c r="Q254">
        <v>4902.34375</v>
      </c>
      <c r="R254">
        <v>-127.211439818363</v>
      </c>
    </row>
    <row r="255" spans="17:18">
      <c r="Q255">
        <v>4921.875</v>
      </c>
      <c r="R255">
        <v>-127.478898400229</v>
      </c>
    </row>
    <row r="256" spans="17:18">
      <c r="Q256">
        <v>4941.40625</v>
      </c>
      <c r="R256">
        <v>-127.746305949939</v>
      </c>
    </row>
    <row r="257" spans="17:18">
      <c r="Q257">
        <v>4960.9375</v>
      </c>
      <c r="R257">
        <v>-128.01367268139001</v>
      </c>
    </row>
    <row r="258" spans="17:18">
      <c r="Q258">
        <v>4980.46875</v>
      </c>
      <c r="R258">
        <v>-128.281008799457</v>
      </c>
    </row>
    <row r="259" spans="17:18">
      <c r="Q259">
        <v>5000</v>
      </c>
      <c r="R259">
        <v>-128.54832450196199</v>
      </c>
    </row>
    <row r="260" spans="17:18">
      <c r="Q260">
        <v>5019.53125</v>
      </c>
      <c r="R260">
        <v>-128.81562998163901</v>
      </c>
    </row>
    <row r="261" spans="17:18">
      <c r="Q261">
        <v>5039.0625</v>
      </c>
      <c r="R261">
        <v>-129.0829354281</v>
      </c>
    </row>
    <row r="262" spans="17:18">
      <c r="Q262">
        <v>5058.59375</v>
      </c>
      <c r="R262">
        <v>-129.35025102979699</v>
      </c>
    </row>
    <row r="263" spans="17:18">
      <c r="Q263">
        <v>5078.125</v>
      </c>
      <c r="R263">
        <v>-129.61758697598</v>
      </c>
    </row>
    <row r="264" spans="17:18">
      <c r="Q264">
        <v>5097.65625</v>
      </c>
      <c r="R264">
        <v>-129.884953458659</v>
      </c>
    </row>
    <row r="265" spans="17:18">
      <c r="Q265">
        <v>5117.1875</v>
      </c>
      <c r="R265">
        <v>-130.15236067456499</v>
      </c>
    </row>
    <row r="266" spans="17:18">
      <c r="Q266">
        <v>5136.71875</v>
      </c>
      <c r="R266">
        <v>-130.419818827114</v>
      </c>
    </row>
    <row r="267" spans="17:18">
      <c r="Q267">
        <v>5156.25</v>
      </c>
      <c r="R267">
        <v>-130.68733812836899</v>
      </c>
    </row>
    <row r="268" spans="17:18">
      <c r="Q268">
        <v>5175.78125</v>
      </c>
      <c r="R268">
        <v>-130.95492880101199</v>
      </c>
    </row>
    <row r="269" spans="17:18">
      <c r="Q269">
        <v>5195.3125</v>
      </c>
      <c r="R269">
        <v>-131.22260108031799</v>
      </c>
    </row>
    <row r="270" spans="17:18">
      <c r="Q270">
        <v>5214.84375</v>
      </c>
      <c r="R270">
        <v>-131.49036521613101</v>
      </c>
    </row>
    <row r="271" spans="17:18">
      <c r="Q271">
        <v>5234.375</v>
      </c>
      <c r="R271">
        <v>-131.758231474849</v>
      </c>
    </row>
    <row r="272" spans="17:18">
      <c r="Q272">
        <v>5253.90625</v>
      </c>
      <c r="R272">
        <v>-132.02621014142099</v>
      </c>
    </row>
    <row r="273" spans="17:18">
      <c r="Q273">
        <v>5273.4375</v>
      </c>
      <c r="R273">
        <v>-132.29431152134299</v>
      </c>
    </row>
    <row r="274" spans="17:18">
      <c r="Q274">
        <v>5292.96875</v>
      </c>
      <c r="R274">
        <v>-132.56254594267099</v>
      </c>
    </row>
    <row r="275" spans="17:18">
      <c r="Q275">
        <v>5312.5</v>
      </c>
      <c r="R275">
        <v>-132.83092375803901</v>
      </c>
    </row>
    <row r="276" spans="17:18">
      <c r="Q276">
        <v>5332.03125</v>
      </c>
      <c r="R276">
        <v>-133.09945534669299</v>
      </c>
    </row>
    <row r="277" spans="17:18">
      <c r="Q277">
        <v>5351.5625</v>
      </c>
      <c r="R277">
        <v>-133.36815111652999</v>
      </c>
    </row>
    <row r="278" spans="17:18">
      <c r="Q278">
        <v>5371.09375</v>
      </c>
      <c r="R278">
        <v>-133.63702150616101</v>
      </c>
    </row>
    <row r="279" spans="17:18">
      <c r="Q279">
        <v>5390.625</v>
      </c>
      <c r="R279">
        <v>-133.90607698697499</v>
      </c>
    </row>
    <row r="280" spans="17:18">
      <c r="Q280">
        <v>5410.15625</v>
      </c>
      <c r="R280">
        <v>-134.175328065233</v>
      </c>
    </row>
    <row r="281" spans="17:18">
      <c r="Q281">
        <v>5429.6875</v>
      </c>
      <c r="R281">
        <v>-134.44478528415999</v>
      </c>
    </row>
    <row r="282" spans="17:18">
      <c r="Q282">
        <v>5449.21875</v>
      </c>
      <c r="R282">
        <v>-134.71445922607401</v>
      </c>
    </row>
    <row r="283" spans="17:18">
      <c r="Q283">
        <v>5468.75</v>
      </c>
      <c r="R283">
        <v>-134.98436051451901</v>
      </c>
    </row>
    <row r="284" spans="17:18">
      <c r="Q284">
        <v>5488.28125</v>
      </c>
      <c r="R284">
        <v>-135.254499816422</v>
      </c>
    </row>
    <row r="285" spans="17:18">
      <c r="Q285">
        <v>5507.8125</v>
      </c>
      <c r="R285">
        <v>-135.524887844273</v>
      </c>
    </row>
    <row r="286" spans="17:18">
      <c r="Q286">
        <v>5527.34375</v>
      </c>
      <c r="R286">
        <v>-135.79553535832201</v>
      </c>
    </row>
    <row r="287" spans="17:18">
      <c r="Q287">
        <v>5546.875</v>
      </c>
      <c r="R287">
        <v>-136.066453168804</v>
      </c>
    </row>
    <row r="288" spans="17:18">
      <c r="Q288">
        <v>5566.40625</v>
      </c>
      <c r="R288">
        <v>-136.337652138181</v>
      </c>
    </row>
    <row r="289" spans="17:18">
      <c r="Q289">
        <v>5585.9375</v>
      </c>
      <c r="R289">
        <v>-136.60914318341599</v>
      </c>
    </row>
    <row r="290" spans="17:18">
      <c r="Q290">
        <v>5605.46875</v>
      </c>
      <c r="R290">
        <v>-136.88093727826899</v>
      </c>
    </row>
    <row r="291" spans="17:18">
      <c r="Q291">
        <v>5625</v>
      </c>
      <c r="R291">
        <v>-137.15304545562401</v>
      </c>
    </row>
    <row r="292" spans="17:18">
      <c r="Q292">
        <v>5644.53125</v>
      </c>
      <c r="R292">
        <v>-137.42547880984</v>
      </c>
    </row>
    <row r="293" spans="17:18">
      <c r="Q293">
        <v>5664.0625</v>
      </c>
      <c r="R293">
        <v>-137.698248499134</v>
      </c>
    </row>
    <row r="294" spans="17:18">
      <c r="Q294">
        <v>5683.59375</v>
      </c>
      <c r="R294">
        <v>-137.97136574800001</v>
      </c>
    </row>
    <row r="295" spans="17:18">
      <c r="Q295">
        <v>5703.125</v>
      </c>
      <c r="R295">
        <v>-138.244841849653</v>
      </c>
    </row>
    <row r="296" spans="17:18">
      <c r="Q296">
        <v>5722.65625</v>
      </c>
      <c r="R296">
        <v>-138.51868816851101</v>
      </c>
    </row>
    <row r="297" spans="17:18">
      <c r="Q297">
        <v>5742.1875</v>
      </c>
      <c r="R297">
        <v>-138.79291614271301</v>
      </c>
    </row>
    <row r="298" spans="17:18">
      <c r="Q298">
        <v>5761.71875</v>
      </c>
      <c r="R298">
        <v>-139.06753728667499</v>
      </c>
    </row>
    <row r="299" spans="17:18">
      <c r="Q299">
        <v>5781.25</v>
      </c>
      <c r="R299">
        <v>-139.34256319367799</v>
      </c>
    </row>
    <row r="300" spans="17:18">
      <c r="Q300">
        <v>5800.78125</v>
      </c>
      <c r="R300">
        <v>-139.618005538501</v>
      </c>
    </row>
    <row r="301" spans="17:18">
      <c r="Q301">
        <v>5820.3125</v>
      </c>
      <c r="R301">
        <v>-139.89387608009699</v>
      </c>
    </row>
    <row r="302" spans="17:18">
      <c r="Q302">
        <v>5839.84375</v>
      </c>
      <c r="R302">
        <v>-140.17018666430701</v>
      </c>
    </row>
    <row r="303" spans="17:18">
      <c r="Q303">
        <v>5859.375</v>
      </c>
      <c r="R303">
        <v>-140.446949226622</v>
      </c>
    </row>
    <row r="304" spans="17:18">
      <c r="Q304">
        <v>5878.90625</v>
      </c>
      <c r="R304">
        <v>-140.72417579498901</v>
      </c>
    </row>
    <row r="305" spans="17:18">
      <c r="Q305">
        <v>5898.4375</v>
      </c>
      <c r="R305">
        <v>-141.001878492667</v>
      </c>
    </row>
    <row r="306" spans="17:18">
      <c r="Q306">
        <v>5917.96875</v>
      </c>
      <c r="R306">
        <v>-141.28006954112999</v>
      </c>
    </row>
    <row r="307" spans="17:18">
      <c r="Q307">
        <v>5937.5</v>
      </c>
      <c r="R307">
        <v>-141.55876126302701</v>
      </c>
    </row>
    <row r="308" spans="17:18">
      <c r="Q308">
        <v>5957.03125</v>
      </c>
      <c r="R308">
        <v>-141.83796608518699</v>
      </c>
    </row>
    <row r="309" spans="17:18">
      <c r="Q309">
        <v>5976.5625</v>
      </c>
      <c r="R309">
        <v>-142.117696541687</v>
      </c>
    </row>
    <row r="310" spans="17:18">
      <c r="Q310">
        <v>5996.09375</v>
      </c>
      <c r="R310">
        <v>-142.39796527697101</v>
      </c>
    </row>
    <row r="311" spans="17:18">
      <c r="Q311">
        <v>6015.625</v>
      </c>
      <c r="R311">
        <v>-142.67878504903501</v>
      </c>
    </row>
    <row r="312" spans="17:18">
      <c r="Q312">
        <v>6035.15625</v>
      </c>
      <c r="R312">
        <v>-142.960168732668</v>
      </c>
    </row>
    <row r="313" spans="17:18">
      <c r="Q313">
        <v>6054.6875</v>
      </c>
      <c r="R313">
        <v>-143.242129322756</v>
      </c>
    </row>
    <row r="314" spans="17:18">
      <c r="Q314">
        <v>6074.21875</v>
      </c>
      <c r="R314">
        <v>-143.52467993765799</v>
      </c>
    </row>
    <row r="315" spans="17:18">
      <c r="Q315">
        <v>6093.75</v>
      </c>
      <c r="R315">
        <v>-143.807833822643</v>
      </c>
    </row>
    <row r="316" spans="17:18">
      <c r="Q316">
        <v>6113.28125</v>
      </c>
      <c r="R316">
        <v>-144.091604353402</v>
      </c>
    </row>
    <row r="317" spans="17:18">
      <c r="Q317">
        <v>6132.8125</v>
      </c>
      <c r="R317">
        <v>-144.37600503962901</v>
      </c>
    </row>
    <row r="318" spans="17:18">
      <c r="Q318">
        <v>6152.34375</v>
      </c>
      <c r="R318">
        <v>-144.661049528684</v>
      </c>
    </row>
    <row r="319" spans="17:18">
      <c r="Q319">
        <v>6171.875</v>
      </c>
      <c r="R319">
        <v>-144.946751609323</v>
      </c>
    </row>
    <row r="320" spans="17:18">
      <c r="Q320">
        <v>6191.40625</v>
      </c>
      <c r="R320">
        <v>-145.23312521552199</v>
      </c>
    </row>
    <row r="321" spans="17:18">
      <c r="Q321">
        <v>6210.9375</v>
      </c>
      <c r="R321">
        <v>-145.52018443037301</v>
      </c>
    </row>
    <row r="322" spans="17:18">
      <c r="Q322">
        <v>6230.46875</v>
      </c>
      <c r="R322">
        <v>-145.807943490073</v>
      </c>
    </row>
    <row r="323" spans="17:18">
      <c r="Q323">
        <v>6250</v>
      </c>
      <c r="R323">
        <v>-146.096416788</v>
      </c>
    </row>
    <row r="324" spans="17:18">
      <c r="Q324">
        <v>6269.53125</v>
      </c>
      <c r="R324">
        <v>-146.38561887888</v>
      </c>
    </row>
    <row r="325" spans="17:18">
      <c r="Q325">
        <v>6289.0625</v>
      </c>
      <c r="R325">
        <v>-146.67556448305399</v>
      </c>
    </row>
    <row r="326" spans="17:18">
      <c r="Q326">
        <v>6308.59375</v>
      </c>
      <c r="R326">
        <v>-146.96626849084001</v>
      </c>
    </row>
    <row r="327" spans="17:18">
      <c r="Q327">
        <v>6328.125</v>
      </c>
      <c r="R327">
        <v>-147.25774596699699</v>
      </c>
    </row>
    <row r="328" spans="17:18">
      <c r="Q328">
        <v>6347.65625</v>
      </c>
      <c r="R328">
        <v>-147.550012155296</v>
      </c>
    </row>
    <row r="329" spans="17:18">
      <c r="Q329">
        <v>6367.1875</v>
      </c>
      <c r="R329">
        <v>-147.84308248320301</v>
      </c>
    </row>
    <row r="330" spans="17:18">
      <c r="Q330">
        <v>6386.71875</v>
      </c>
      <c r="R330">
        <v>-148.136972566672</v>
      </c>
    </row>
    <row r="331" spans="17:18">
      <c r="Q331">
        <v>6406.25</v>
      </c>
      <c r="R331">
        <v>-148.43169821505299</v>
      </c>
    </row>
    <row r="332" spans="17:18">
      <c r="Q332">
        <v>6425.78125</v>
      </c>
      <c r="R332">
        <v>-148.72727543612601</v>
      </c>
    </row>
    <row r="333" spans="17:18">
      <c r="Q333">
        <v>6445.3125</v>
      </c>
      <c r="R333">
        <v>-149.02372044126199</v>
      </c>
    </row>
    <row r="334" spans="17:18">
      <c r="Q334">
        <v>6464.84375</v>
      </c>
      <c r="R334">
        <v>-149.321049650703</v>
      </c>
    </row>
    <row r="335" spans="17:18">
      <c r="Q335">
        <v>6484.375</v>
      </c>
      <c r="R335">
        <v>-149.61927969899099</v>
      </c>
    </row>
    <row r="336" spans="17:18">
      <c r="Q336">
        <v>6503.90625</v>
      </c>
      <c r="R336">
        <v>-149.91842744052499</v>
      </c>
    </row>
    <row r="337" spans="17:18">
      <c r="Q337">
        <v>6523.4375</v>
      </c>
      <c r="R337">
        <v>-150.218509955267</v>
      </c>
    </row>
    <row r="338" spans="17:18">
      <c r="Q338">
        <v>6542.96875</v>
      </c>
      <c r="R338">
        <v>-150.51954455459699</v>
      </c>
    </row>
    <row r="339" spans="17:18">
      <c r="Q339">
        <v>6562.5</v>
      </c>
      <c r="R339">
        <v>-150.82154878731799</v>
      </c>
    </row>
    <row r="340" spans="17:18">
      <c r="Q340">
        <v>6582.03125</v>
      </c>
      <c r="R340">
        <v>-151.12454044583001</v>
      </c>
    </row>
    <row r="341" spans="17:18">
      <c r="Q341">
        <v>6601.5625</v>
      </c>
      <c r="R341">
        <v>-151.42853757245899</v>
      </c>
    </row>
    <row r="342" spans="17:18">
      <c r="Q342">
        <v>6621.09375</v>
      </c>
      <c r="R342">
        <v>-151.733558465963</v>
      </c>
    </row>
    <row r="343" spans="17:18">
      <c r="Q343">
        <v>6640.625</v>
      </c>
      <c r="R343">
        <v>-152.03962168821801</v>
      </c>
    </row>
    <row r="344" spans="17:18">
      <c r="Q344">
        <v>6660.15625</v>
      </c>
      <c r="R344">
        <v>-152.346746071083</v>
      </c>
    </row>
    <row r="345" spans="17:18">
      <c r="Q345">
        <v>6679.6875</v>
      </c>
      <c r="R345">
        <v>-152.654950723458</v>
      </c>
    </row>
    <row r="346" spans="17:18">
      <c r="Q346">
        <v>6699.21875</v>
      </c>
      <c r="R346">
        <v>-152.96425503854101</v>
      </c>
    </row>
    <row r="347" spans="17:18">
      <c r="Q347">
        <v>6718.75</v>
      </c>
      <c r="R347">
        <v>-153.274678701287</v>
      </c>
    </row>
    <row r="348" spans="17:18">
      <c r="Q348">
        <v>6738.28125</v>
      </c>
      <c r="R348">
        <v>-153.586241696081</v>
      </c>
    </row>
    <row r="349" spans="17:18">
      <c r="Q349">
        <v>6757.8125</v>
      </c>
      <c r="R349">
        <v>-153.898964314636</v>
      </c>
    </row>
    <row r="350" spans="17:18">
      <c r="Q350">
        <v>6777.34375</v>
      </c>
      <c r="R350">
        <v>-154.21286716410799</v>
      </c>
    </row>
    <row r="351" spans="17:18">
      <c r="Q351">
        <v>6796.875</v>
      </c>
      <c r="R351">
        <v>-154.527971175462</v>
      </c>
    </row>
    <row r="352" spans="17:18">
      <c r="Q352">
        <v>6816.40625</v>
      </c>
      <c r="R352">
        <v>-154.84429761206999</v>
      </c>
    </row>
    <row r="353" spans="17:18">
      <c r="Q353">
        <v>6835.9375</v>
      </c>
      <c r="R353">
        <v>-155.16186807857699</v>
      </c>
    </row>
    <row r="354" spans="17:18">
      <c r="Q354">
        <v>6855.46875</v>
      </c>
      <c r="R354">
        <v>-155.48070453002501</v>
      </c>
    </row>
    <row r="355" spans="17:18">
      <c r="Q355">
        <v>6875</v>
      </c>
      <c r="R355">
        <v>-155.80082928124901</v>
      </c>
    </row>
    <row r="356" spans="17:18">
      <c r="Q356">
        <v>6894.53125</v>
      </c>
      <c r="R356">
        <v>-156.122265016565</v>
      </c>
    </row>
    <row r="357" spans="17:18">
      <c r="Q357">
        <v>6914.0625</v>
      </c>
      <c r="R357">
        <v>-156.44503479975401</v>
      </c>
    </row>
    <row r="358" spans="17:18">
      <c r="Q358">
        <v>6933.59375</v>
      </c>
      <c r="R358">
        <v>-156.76916208434699</v>
      </c>
    </row>
    <row r="359" spans="17:18">
      <c r="Q359">
        <v>6953.125</v>
      </c>
      <c r="R359">
        <v>-157.09467072423499</v>
      </c>
    </row>
    <row r="360" spans="17:18">
      <c r="Q360">
        <v>6972.65625</v>
      </c>
      <c r="R360">
        <v>-157.42158498461399</v>
      </c>
    </row>
    <row r="361" spans="17:18">
      <c r="Q361">
        <v>6992.1875</v>
      </c>
      <c r="R361">
        <v>-157.749929553268</v>
      </c>
    </row>
    <row r="362" spans="17:18">
      <c r="Q362">
        <v>7011.71875</v>
      </c>
      <c r="R362">
        <v>-158.07972955221501</v>
      </c>
    </row>
    <row r="363" spans="17:18">
      <c r="Q363">
        <v>7031.25</v>
      </c>
      <c r="R363">
        <v>-158.41101054973001</v>
      </c>
    </row>
    <row r="364" spans="17:18">
      <c r="Q364">
        <v>7050.78125</v>
      </c>
      <c r="R364">
        <v>-158.74379857274701</v>
      </c>
    </row>
    <row r="365" spans="17:18">
      <c r="Q365">
        <v>7070.3125</v>
      </c>
      <c r="R365">
        <v>-159.07812011967499</v>
      </c>
    </row>
    <row r="366" spans="17:18">
      <c r="Q366">
        <v>7089.84375</v>
      </c>
      <c r="R366">
        <v>-159.41400217362499</v>
      </c>
    </row>
    <row r="367" spans="17:18">
      <c r="Q367">
        <v>7109.375</v>
      </c>
      <c r="R367">
        <v>-159.75147221608199</v>
      </c>
    </row>
    <row r="368" spans="17:18">
      <c r="Q368">
        <v>7128.90625</v>
      </c>
      <c r="R368">
        <v>-160.090558241027</v>
      </c>
    </row>
    <row r="369" spans="17:18">
      <c r="Q369">
        <v>7148.4375</v>
      </c>
      <c r="R369">
        <v>-160.431288769536</v>
      </c>
    </row>
    <row r="370" spans="17:18">
      <c r="Q370">
        <v>7167.96875</v>
      </c>
      <c r="R370">
        <v>-160.77369286487101</v>
      </c>
    </row>
    <row r="371" spans="17:18">
      <c r="Q371">
        <v>7187.5</v>
      </c>
      <c r="R371">
        <v>-161.11780014808599</v>
      </c>
    </row>
    <row r="372" spans="17:18">
      <c r="Q372">
        <v>7207.03125</v>
      </c>
      <c r="R372">
        <v>-161.46364081417099</v>
      </c>
    </row>
    <row r="373" spans="17:18">
      <c r="Q373">
        <v>7226.5625</v>
      </c>
      <c r="R373">
        <v>-161.81124564874801</v>
      </c>
    </row>
    <row r="374" spans="17:18">
      <c r="Q374">
        <v>7246.09375</v>
      </c>
      <c r="R374">
        <v>-162.16064604536101</v>
      </c>
    </row>
    <row r="375" spans="17:18">
      <c r="Q375">
        <v>7265.625</v>
      </c>
      <c r="R375">
        <v>-162.511874023361</v>
      </c>
    </row>
    <row r="376" spans="17:18">
      <c r="Q376">
        <v>7285.15625</v>
      </c>
      <c r="R376">
        <v>-162.864962246435</v>
      </c>
    </row>
    <row r="377" spans="17:18">
      <c r="Q377">
        <v>7304.6875</v>
      </c>
      <c r="R377">
        <v>-163.21994404178599</v>
      </c>
    </row>
    <row r="378" spans="17:18">
      <c r="Q378">
        <v>7324.21875</v>
      </c>
      <c r="R378">
        <v>-163.57685342001901</v>
      </c>
    </row>
    <row r="379" spans="17:18">
      <c r="Q379">
        <v>7343.75</v>
      </c>
      <c r="R379">
        <v>-163.93572509572999</v>
      </c>
    </row>
    <row r="380" spans="17:18">
      <c r="Q380">
        <v>7363.28125</v>
      </c>
      <c r="R380">
        <v>-164.29659450885799</v>
      </c>
    </row>
    <row r="381" spans="17:18">
      <c r="Q381">
        <v>7382.8125</v>
      </c>
      <c r="R381">
        <v>-164.65949784682601</v>
      </c>
    </row>
    <row r="382" spans="17:18">
      <c r="Q382">
        <v>7402.34375</v>
      </c>
      <c r="R382">
        <v>-165.024472067495</v>
      </c>
    </row>
    <row r="383" spans="17:18">
      <c r="Q383">
        <v>7421.875</v>
      </c>
      <c r="R383">
        <v>-165.39155492298599</v>
      </c>
    </row>
    <row r="384" spans="17:18">
      <c r="Q384">
        <v>7441.40625</v>
      </c>
      <c r="R384">
        <v>-165.760784984395</v>
      </c>
    </row>
    <row r="385" spans="17:18">
      <c r="Q385">
        <v>7460.9375</v>
      </c>
      <c r="R385">
        <v>-166.13220166745</v>
      </c>
    </row>
    <row r="386" spans="17:18">
      <c r="Q386">
        <v>7480.46875</v>
      </c>
      <c r="R386">
        <v>-166.505845259155</v>
      </c>
    </row>
    <row r="387" spans="17:18">
      <c r="Q387">
        <v>7500</v>
      </c>
      <c r="R387">
        <v>-166.88175694546101</v>
      </c>
    </row>
    <row r="388" spans="17:18">
      <c r="Q388">
        <v>7519.53125</v>
      </c>
      <c r="R388">
        <v>-167.259978840012</v>
      </c>
    </row>
    <row r="389" spans="17:18">
      <c r="Q389">
        <v>7539.0625</v>
      </c>
      <c r="R389">
        <v>-167.64055401402999</v>
      </c>
    </row>
    <row r="390" spans="17:18">
      <c r="Q390">
        <v>7558.59375</v>
      </c>
      <c r="R390">
        <v>-168.023526527374</v>
      </c>
    </row>
    <row r="391" spans="17:18">
      <c r="Q391">
        <v>7578.125</v>
      </c>
      <c r="R391">
        <v>-168.40894146084801</v>
      </c>
    </row>
    <row r="392" spans="17:18">
      <c r="Q392">
        <v>7597.65625</v>
      </c>
      <c r="R392">
        <v>-168.79684494980799</v>
      </c>
    </row>
    <row r="393" spans="17:18">
      <c r="Q393">
        <v>7617.1875</v>
      </c>
      <c r="R393">
        <v>-169.187284219129</v>
      </c>
    </row>
    <row r="394" spans="17:18">
      <c r="Q394">
        <v>7636.71875</v>
      </c>
      <c r="R394">
        <v>-169.58030761961399</v>
      </c>
    </row>
    <row r="395" spans="17:18">
      <c r="Q395">
        <v>7656.25</v>
      </c>
      <c r="R395">
        <v>-169.97596466590301</v>
      </c>
    </row>
    <row r="396" spans="17:18">
      <c r="Q396">
        <v>7675.78125</v>
      </c>
      <c r="R396">
        <v>-170.37430607595999</v>
      </c>
    </row>
    <row r="397" spans="17:18">
      <c r="Q397">
        <v>7695.3125</v>
      </c>
      <c r="R397">
        <v>-170.775383812223</v>
      </c>
    </row>
    <row r="398" spans="17:18">
      <c r="Q398">
        <v>7714.84375</v>
      </c>
      <c r="R398">
        <v>-171.17925112449799</v>
      </c>
    </row>
    <row r="399" spans="17:18">
      <c r="Q399">
        <v>7734.375</v>
      </c>
      <c r="R399">
        <v>-171.58596259468899</v>
      </c>
    </row>
    <row r="400" spans="17:18">
      <c r="Q400">
        <v>7753.90625</v>
      </c>
      <c r="R400">
        <v>-171.99557418345901</v>
      </c>
    </row>
    <row r="401" spans="17:18">
      <c r="Q401">
        <v>7773.4375</v>
      </c>
      <c r="R401">
        <v>-172.408143278918</v>
      </c>
    </row>
    <row r="402" spans="17:18">
      <c r="Q402">
        <v>7792.96875</v>
      </c>
      <c r="R402">
        <v>-172.82372874745701</v>
      </c>
    </row>
    <row r="403" spans="17:18">
      <c r="Q403">
        <v>7812.5</v>
      </c>
      <c r="R403">
        <v>-173.24239098683</v>
      </c>
    </row>
    <row r="404" spans="17:18">
      <c r="Q404">
        <v>7832.03125</v>
      </c>
      <c r="R404">
        <v>-173.66419198161401</v>
      </c>
    </row>
    <row r="405" spans="17:18">
      <c r="Q405">
        <v>7851.5625</v>
      </c>
      <c r="R405">
        <v>-174.08919536117199</v>
      </c>
    </row>
    <row r="406" spans="17:18">
      <c r="Q406">
        <v>7871.09375</v>
      </c>
      <c r="R406">
        <v>-174.51746646025299</v>
      </c>
    </row>
    <row r="407" spans="17:18">
      <c r="Q407">
        <v>7890.625</v>
      </c>
      <c r="R407">
        <v>-174.94907238239</v>
      </c>
    </row>
    <row r="408" spans="17:18">
      <c r="Q408">
        <v>7910.15625</v>
      </c>
      <c r="R408">
        <v>-175.38408206622799</v>
      </c>
    </row>
    <row r="409" spans="17:18">
      <c r="Q409">
        <v>7929.6875</v>
      </c>
      <c r="R409">
        <v>-175.822566354971</v>
      </c>
    </row>
    <row r="410" spans="17:18">
      <c r="Q410">
        <v>7949.21875</v>
      </c>
      <c r="R410">
        <v>-176.264598069107</v>
      </c>
    </row>
    <row r="411" spans="17:18">
      <c r="Q411">
        <v>7968.75</v>
      </c>
      <c r="R411">
        <v>-176.71025208261301</v>
      </c>
    </row>
    <row r="412" spans="17:18">
      <c r="Q412">
        <v>7988.28125</v>
      </c>
      <c r="R412">
        <v>-177.159605402838</v>
      </c>
    </row>
    <row r="413" spans="17:18">
      <c r="Q413">
        <v>8007.8125</v>
      </c>
      <c r="R413">
        <v>-177.612737254265</v>
      </c>
    </row>
    <row r="414" spans="17:18">
      <c r="Q414">
        <v>8027.34375</v>
      </c>
      <c r="R414">
        <v>-178.069729166412</v>
      </c>
    </row>
    <row r="415" spans="17:18">
      <c r="Q415">
        <v>8046.875</v>
      </c>
      <c r="R415">
        <v>-178.53066506608599</v>
      </c>
    </row>
    <row r="416" spans="17:18">
      <c r="Q416">
        <v>8066.40625</v>
      </c>
      <c r="R416">
        <v>-178.99563137427799</v>
      </c>
    </row>
    <row r="417" spans="17:18">
      <c r="Q417">
        <v>8085.9375</v>
      </c>
      <c r="R417">
        <v>-179.46471710796399</v>
      </c>
    </row>
    <row r="418" spans="17:18">
      <c r="Q418">
        <v>8105.46875</v>
      </c>
      <c r="R418">
        <v>-179.938013987125</v>
      </c>
    </row>
    <row r="419" spans="17:18">
      <c r="Q419">
        <v>8125</v>
      </c>
      <c r="R419">
        <v>-180.41561654731299</v>
      </c>
    </row>
    <row r="420" spans="17:18">
      <c r="Q420">
        <v>8144.53125</v>
      </c>
      <c r="R420">
        <v>-180.89762225809</v>
      </c>
    </row>
    <row r="421" spans="17:18">
      <c r="Q421">
        <v>8164.0625</v>
      </c>
      <c r="R421">
        <v>-181.38413164774801</v>
      </c>
    </row>
    <row r="422" spans="17:18">
      <c r="Q422">
        <v>8183.59375</v>
      </c>
      <c r="R422">
        <v>-181.87524843468</v>
      </c>
    </row>
    <row r="423" spans="17:18">
      <c r="Q423">
        <v>8203.125</v>
      </c>
      <c r="R423">
        <v>-182.37107966585401</v>
      </c>
    </row>
    <row r="424" spans="17:18">
      <c r="Q424">
        <v>8222.65625</v>
      </c>
      <c r="R424">
        <v>-182.87173586284399</v>
      </c>
    </row>
    <row r="425" spans="17:18">
      <c r="Q425">
        <v>8242.1875</v>
      </c>
      <c r="R425">
        <v>-183.37733117593399</v>
      </c>
    </row>
    <row r="426" spans="17:18">
      <c r="Q426">
        <v>8261.71875</v>
      </c>
      <c r="R426">
        <v>-183.887983546816</v>
      </c>
    </row>
    <row r="427" spans="17:18">
      <c r="Q427">
        <v>8281.25</v>
      </c>
      <c r="R427">
        <v>-184.403814880482</v>
      </c>
    </row>
    <row r="428" spans="17:18">
      <c r="Q428">
        <v>8300.78125</v>
      </c>
      <c r="R428">
        <v>-184.92495122693299</v>
      </c>
    </row>
    <row r="429" spans="17:18">
      <c r="Q429">
        <v>8320.3125</v>
      </c>
      <c r="R429">
        <v>-185.451522973387</v>
      </c>
    </row>
    <row r="430" spans="17:18">
      <c r="Q430">
        <v>8339.84375</v>
      </c>
      <c r="R430">
        <v>-185.98366504772201</v>
      </c>
    </row>
    <row r="431" spans="17:18">
      <c r="Q431">
        <v>8359.375</v>
      </c>
      <c r="R431">
        <v>-186.52151713395401</v>
      </c>
    </row>
    <row r="432" spans="17:18">
      <c r="Q432">
        <v>8378.90625</v>
      </c>
      <c r="R432">
        <v>-187.06522390061801</v>
      </c>
    </row>
    <row r="433" spans="17:18">
      <c r="Q433">
        <v>8398.4375</v>
      </c>
      <c r="R433">
        <v>-187.61493524297799</v>
      </c>
    </row>
    <row r="434" spans="17:18">
      <c r="Q434">
        <v>8417.96875</v>
      </c>
      <c r="R434">
        <v>-188.17080654009899</v>
      </c>
    </row>
    <row r="435" spans="17:18">
      <c r="Q435">
        <v>8437.5</v>
      </c>
      <c r="R435">
        <v>-188.73299892788501</v>
      </c>
    </row>
    <row r="436" spans="17:18">
      <c r="Q436">
        <v>8457.03125</v>
      </c>
      <c r="R436">
        <v>-189.30167958927299</v>
      </c>
    </row>
    <row r="437" spans="17:18">
      <c r="Q437">
        <v>8476.5625</v>
      </c>
      <c r="R437">
        <v>-189.87702206293201</v>
      </c>
    </row>
    <row r="438" spans="17:18">
      <c r="Q438">
        <v>8496.09375</v>
      </c>
      <c r="R438">
        <v>-190.45920657184399</v>
      </c>
    </row>
    <row r="439" spans="17:18">
      <c r="Q439">
        <v>8515.625</v>
      </c>
      <c r="R439">
        <v>-191.048420373384</v>
      </c>
    </row>
    <row r="440" spans="17:18">
      <c r="Q440">
        <v>8535.15625</v>
      </c>
      <c r="R440">
        <v>-191.644858132568</v>
      </c>
    </row>
    <row r="441" spans="17:18">
      <c r="Q441">
        <v>8554.6875</v>
      </c>
      <c r="R441">
        <v>-192.248722320355</v>
      </c>
    </row>
    <row r="442" spans="17:18">
      <c r="Q442">
        <v>8574.21875</v>
      </c>
      <c r="R442">
        <v>-192.860223639037</v>
      </c>
    </row>
    <row r="443" spans="17:18">
      <c r="Q443">
        <v>8593.75</v>
      </c>
      <c r="R443">
        <v>-193.479581476964</v>
      </c>
    </row>
    <row r="444" spans="17:18">
      <c r="Q444">
        <v>8613.28125</v>
      </c>
      <c r="R444">
        <v>-194.10702439508199</v>
      </c>
    </row>
    <row r="445" spans="17:18">
      <c r="Q445">
        <v>8632.8125</v>
      </c>
      <c r="R445">
        <v>-194.74279064794999</v>
      </c>
    </row>
    <row r="446" spans="17:18">
      <c r="Q446">
        <v>8652.34375</v>
      </c>
      <c r="R446">
        <v>-195.387128742263</v>
      </c>
    </row>
    <row r="447" spans="17:18">
      <c r="Q447">
        <v>8671.875</v>
      </c>
      <c r="R447">
        <v>-196.04029803612599</v>
      </c>
    </row>
    <row r="448" spans="17:18">
      <c r="Q448">
        <v>8691.40625</v>
      </c>
      <c r="R448">
        <v>-196.70256938272999</v>
      </c>
    </row>
    <row r="449" spans="17:18">
      <c r="Q449">
        <v>8710.9375</v>
      </c>
      <c r="R449">
        <v>-197.37422582242999</v>
      </c>
    </row>
    <row r="450" spans="17:18">
      <c r="Q450">
        <v>8730.46875</v>
      </c>
      <c r="R450">
        <v>-198.055563327632</v>
      </c>
    </row>
    <row r="451" spans="17:18">
      <c r="Q451">
        <v>8750</v>
      </c>
      <c r="R451">
        <v>-198.74689160544901</v>
      </c>
    </row>
    <row r="452" spans="17:18">
      <c r="Q452">
        <v>8769.53125</v>
      </c>
      <c r="R452">
        <v>-199.44853496355799</v>
      </c>
    </row>
    <row r="453" spans="17:18">
      <c r="Q453">
        <v>8789.0625</v>
      </c>
      <c r="R453">
        <v>-200.16083324530999</v>
      </c>
    </row>
    <row r="454" spans="17:18">
      <c r="Q454">
        <v>8808.59375</v>
      </c>
      <c r="R454">
        <v>-200.88414284090101</v>
      </c>
    </row>
    <row r="455" spans="17:18">
      <c r="Q455">
        <v>8828.125</v>
      </c>
      <c r="R455">
        <v>-201.6188377821</v>
      </c>
    </row>
    <row r="456" spans="17:18">
      <c r="Q456">
        <v>8847.65625</v>
      </c>
      <c r="R456">
        <v>-202.36531092896399</v>
      </c>
    </row>
    <row r="457" spans="17:18">
      <c r="Q457">
        <v>8867.1875</v>
      </c>
      <c r="R457">
        <v>-203.12397525803399</v>
      </c>
    </row>
    <row r="458" spans="17:18">
      <c r="Q458">
        <v>8886.71875</v>
      </c>
      <c r="R458">
        <v>-203.895265262523</v>
      </c>
    </row>
    <row r="459" spans="17:18">
      <c r="Q459">
        <v>8906.25</v>
      </c>
      <c r="R459">
        <v>-204.67963847643799</v>
      </c>
    </row>
    <row r="460" spans="17:18">
      <c r="Q460">
        <v>8925.78125</v>
      </c>
      <c r="R460">
        <v>-205.477577136039</v>
      </c>
    </row>
    <row r="461" spans="17:18">
      <c r="Q461">
        <v>8945.3125</v>
      </c>
      <c r="R461">
        <v>-206.28958999372</v>
      </c>
    </row>
    <row r="462" spans="17:18">
      <c r="Q462">
        <v>8964.84375</v>
      </c>
      <c r="R462">
        <v>-207.116214301485</v>
      </c>
    </row>
    <row r="463" spans="17:18">
      <c r="Q463">
        <v>8984.375</v>
      </c>
      <c r="R463">
        <v>-207.958017983297</v>
      </c>
    </row>
    <row r="464" spans="17:18">
      <c r="Q464">
        <v>9003.90625</v>
      </c>
      <c r="R464">
        <v>-208.81560201838801</v>
      </c>
    </row>
    <row r="465" spans="17:18">
      <c r="Q465">
        <v>9023.4375</v>
      </c>
      <c r="R465">
        <v>-209.689603060613</v>
      </c>
    </row>
    <row r="466" spans="17:18">
      <c r="Q466">
        <v>9042.96875</v>
      </c>
      <c r="R466">
        <v>-210.58069632239199</v>
      </c>
    </row>
    <row r="467" spans="17:18">
      <c r="Q467">
        <v>9062.5</v>
      </c>
      <c r="R467">
        <v>-211.489598756052</v>
      </c>
    </row>
    <row r="468" spans="17:18">
      <c r="Q468">
        <v>9082.03125</v>
      </c>
      <c r="R468">
        <v>-212.417072570084</v>
      </c>
    </row>
    <row r="469" spans="17:18">
      <c r="Q469">
        <v>9101.5625</v>
      </c>
      <c r="R469">
        <v>-213.36392912355399</v>
      </c>
    </row>
    <row r="470" spans="17:18">
      <c r="Q470">
        <v>9121.09375</v>
      </c>
      <c r="R470">
        <v>-214.331033248653</v>
      </c>
    </row>
    <row r="471" spans="17:18">
      <c r="Q471">
        <v>9140.625</v>
      </c>
      <c r="R471">
        <v>-215.31930805898099</v>
      </c>
    </row>
    <row r="472" spans="17:18">
      <c r="Q472">
        <v>9160.15625</v>
      </c>
      <c r="R472">
        <v>-216.32974031056401</v>
      </c>
    </row>
    <row r="473" spans="17:18">
      <c r="Q473">
        <v>9179.6875</v>
      </c>
      <c r="R473">
        <v>-217.36338639393099</v>
      </c>
    </row>
    <row r="474" spans="17:18">
      <c r="Q474">
        <v>9199.21875</v>
      </c>
      <c r="R474">
        <v>-218.42137904815499</v>
      </c>
    </row>
    <row r="475" spans="17:18">
      <c r="Q475">
        <v>9218.75</v>
      </c>
      <c r="R475">
        <v>-219.504934904029</v>
      </c>
    </row>
    <row r="476" spans="17:18">
      <c r="Q476">
        <v>9238.28125</v>
      </c>
      <c r="R476">
        <v>-220.61536298246401</v>
      </c>
    </row>
    <row r="477" spans="17:18">
      <c r="Q477">
        <v>9257.8125</v>
      </c>
      <c r="R477">
        <v>-221.754074296922</v>
      </c>
    </row>
    <row r="478" spans="17:18">
      <c r="Q478">
        <v>9277.34375</v>
      </c>
      <c r="R478">
        <v>-222.92259273644399</v>
      </c>
    </row>
    <row r="479" spans="17:18">
      <c r="Q479">
        <v>9296.875</v>
      </c>
      <c r="R479">
        <v>-224.12256744006501</v>
      </c>
    </row>
    <row r="480" spans="17:18">
      <c r="Q480">
        <v>9316.40625</v>
      </c>
      <c r="R480">
        <v>-225.355786915012</v>
      </c>
    </row>
    <row r="481" spans="17:18">
      <c r="Q481">
        <v>9335.9375</v>
      </c>
      <c r="R481">
        <v>-226.624195201405</v>
      </c>
    </row>
    <row r="482" spans="17:18">
      <c r="Q482">
        <v>9355.46875</v>
      </c>
      <c r="R482">
        <v>-227.929910450959</v>
      </c>
    </row>
    <row r="483" spans="17:18">
      <c r="Q483">
        <v>9375</v>
      </c>
      <c r="R483">
        <v>-229.275246364906</v>
      </c>
    </row>
    <row r="484" spans="17:18">
      <c r="Q484">
        <v>9394.53125</v>
      </c>
      <c r="R484">
        <v>-230.66273703644001</v>
      </c>
    </row>
    <row r="485" spans="17:18">
      <c r="Q485">
        <v>9414.0625</v>
      </c>
      <c r="R485">
        <v>-232.09516586813299</v>
      </c>
    </row>
    <row r="486" spans="17:18">
      <c r="Q486">
        <v>9433.59375</v>
      </c>
      <c r="R486">
        <v>-233.57559939248199</v>
      </c>
    </row>
    <row r="487" spans="17:18">
      <c r="Q487">
        <v>9453.125</v>
      </c>
      <c r="R487">
        <v>-235.10742702964899</v>
      </c>
    </row>
    <row r="488" spans="17:18">
      <c r="Q488">
        <v>9472.65625</v>
      </c>
      <c r="R488">
        <v>-236.69440807839101</v>
      </c>
    </row>
    <row r="489" spans="17:18">
      <c r="Q489">
        <v>9492.1875</v>
      </c>
      <c r="R489">
        <v>-238.34072757863001</v>
      </c>
    </row>
    <row r="490" spans="17:18">
      <c r="Q490">
        <v>9511.71875</v>
      </c>
      <c r="R490">
        <v>-240.05106313572699</v>
      </c>
    </row>
    <row r="491" spans="17:18">
      <c r="Q491">
        <v>9531.25</v>
      </c>
      <c r="R491">
        <v>-241.83066539221701</v>
      </c>
    </row>
    <row r="492" spans="17:18">
      <c r="Q492">
        <v>9550.78125</v>
      </c>
      <c r="R492">
        <v>-243.685455634411</v>
      </c>
    </row>
    <row r="493" spans="17:18">
      <c r="Q493">
        <v>9570.3125</v>
      </c>
      <c r="R493">
        <v>-245.622145112103</v>
      </c>
    </row>
    <row r="494" spans="17:18">
      <c r="Q494">
        <v>9589.84375</v>
      </c>
      <c r="R494">
        <v>-247.64838212918801</v>
      </c>
    </row>
    <row r="495" spans="17:18">
      <c r="Q495">
        <v>9609.375</v>
      </c>
      <c r="R495">
        <v>-249.77293505157999</v>
      </c>
    </row>
    <row r="496" spans="17:18">
      <c r="Q496">
        <v>9628.90625</v>
      </c>
      <c r="R496">
        <v>-252.00592229501399</v>
      </c>
    </row>
    <row r="497" spans="17:18">
      <c r="Q497">
        <v>9648.4375</v>
      </c>
      <c r="R497">
        <v>-254.35910455314399</v>
      </c>
    </row>
    <row r="498" spans="17:18">
      <c r="Q498">
        <v>9667.96875</v>
      </c>
      <c r="R498">
        <v>-256.84626063344899</v>
      </c>
    </row>
    <row r="499" spans="17:18">
      <c r="Q499">
        <v>9687.5</v>
      </c>
      <c r="R499">
        <v>-259.48367737678899</v>
      </c>
    </row>
    <row r="500" spans="17:18">
      <c r="Q500">
        <v>9707.03125</v>
      </c>
      <c r="R500">
        <v>-262.290797892721</v>
      </c>
    </row>
    <row r="501" spans="17:18">
      <c r="Q501">
        <v>9726.5625</v>
      </c>
      <c r="R501">
        <v>-265.29109378158302</v>
      </c>
    </row>
    <row r="502" spans="17:18">
      <c r="Q502">
        <v>9746.09375</v>
      </c>
      <c r="R502">
        <v>-268.51326117333298</v>
      </c>
    </row>
    <row r="503" spans="17:18">
      <c r="Q503">
        <v>9765.625</v>
      </c>
      <c r="R503">
        <v>-271.99289645233802</v>
      </c>
    </row>
    <row r="504" spans="17:18">
      <c r="Q504">
        <v>9785.15625</v>
      </c>
      <c r="R504">
        <v>-275.77490289539998</v>
      </c>
    </row>
    <row r="505" spans="17:18">
      <c r="Q505">
        <v>9804.6875</v>
      </c>
      <c r="R505">
        <v>-279.91704753039801</v>
      </c>
    </row>
    <row r="506" spans="17:18">
      <c r="Q506">
        <v>9824.21875</v>
      </c>
      <c r="R506">
        <v>-284.49539856915902</v>
      </c>
    </row>
    <row r="507" spans="17:18">
      <c r="Q507">
        <v>9843.75</v>
      </c>
      <c r="R507">
        <v>-289.61297869472401</v>
      </c>
    </row>
    <row r="508" spans="17:18">
      <c r="Q508">
        <v>9863.28125</v>
      </c>
      <c r="R508">
        <v>-295.41422727267297</v>
      </c>
    </row>
    <row r="509" spans="17:18">
      <c r="Q509">
        <v>9882.8125</v>
      </c>
      <c r="R509">
        <v>-302.11068616784399</v>
      </c>
    </row>
    <row r="510" spans="17:18">
      <c r="Q510">
        <v>9902.34375</v>
      </c>
      <c r="R510">
        <v>-310.030316880393</v>
      </c>
    </row>
    <row r="511" spans="17:18">
      <c r="Q511">
        <v>9921.875</v>
      </c>
      <c r="R511">
        <v>-319.72255001484302</v>
      </c>
    </row>
    <row r="512" spans="17:18">
      <c r="Q512">
        <v>9941.40625</v>
      </c>
      <c r="R512">
        <v>-332.21738211080202</v>
      </c>
    </row>
    <row r="513" spans="17:18">
      <c r="Q513">
        <v>9960.9375</v>
      </c>
      <c r="R513">
        <v>-349.82719314410099</v>
      </c>
    </row>
    <row r="514" spans="17:18">
      <c r="Q514">
        <v>9980.46875</v>
      </c>
      <c r="R514">
        <v>-379.93059844141197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2B49-94EB-AF48-80BC-A2C8922476B7}">
  <dimension ref="A1:AT135"/>
  <sheetViews>
    <sheetView topLeftCell="S1" zoomScale="70" zoomScaleNormal="70" workbookViewId="0">
      <selection activeCell="AO12" sqref="AO12"/>
    </sheetView>
  </sheetViews>
  <sheetFormatPr baseColWidth="10" defaultColWidth="10.7109375" defaultRowHeight="20"/>
  <cols>
    <col min="1" max="1" width="14.28515625" customWidth="1"/>
    <col min="2" max="2" width="16" customWidth="1"/>
    <col min="3" max="3" width="17" customWidth="1"/>
    <col min="4" max="4" width="17.7109375" customWidth="1"/>
    <col min="5" max="5" width="14.7109375" customWidth="1"/>
    <col min="6" max="6" width="14.42578125" bestFit="1" customWidth="1"/>
    <col min="10" max="10" width="21.140625" bestFit="1" customWidth="1"/>
    <col min="18" max="18" width="37.42578125" customWidth="1"/>
    <col min="23" max="23" width="39.28515625" bestFit="1" customWidth="1"/>
    <col min="28" max="28" width="39.28515625" bestFit="1" customWidth="1"/>
    <col min="34" max="35" width="16.5703125" bestFit="1" customWidth="1"/>
    <col min="36" max="37" width="17.5703125" bestFit="1" customWidth="1"/>
    <col min="40" max="41" width="16.28515625" bestFit="1" customWidth="1"/>
    <col min="42" max="43" width="17.42578125" bestFit="1" customWidth="1"/>
  </cols>
  <sheetData>
    <row r="1" spans="1:46">
      <c r="A1" s="12" t="s">
        <v>91</v>
      </c>
      <c r="H1" t="s">
        <v>1</v>
      </c>
      <c r="R1" t="s">
        <v>2</v>
      </c>
    </row>
    <row r="2" spans="1:46">
      <c r="B2" t="s">
        <v>3</v>
      </c>
      <c r="D2" t="s">
        <v>4</v>
      </c>
      <c r="F2" t="s">
        <v>5</v>
      </c>
      <c r="H2" s="12"/>
      <c r="I2" t="s">
        <v>6</v>
      </c>
      <c r="R2" t="s">
        <v>7</v>
      </c>
      <c r="W2" t="s">
        <v>8</v>
      </c>
      <c r="AB2" t="s">
        <v>9</v>
      </c>
      <c r="AG2" t="s">
        <v>10</v>
      </c>
    </row>
    <row r="3" spans="1:46">
      <c r="A3" s="9" t="s">
        <v>11</v>
      </c>
      <c r="B3" s="7" t="s">
        <v>12</v>
      </c>
      <c r="C3" s="8" t="s">
        <v>13</v>
      </c>
      <c r="D3" s="9" t="s">
        <v>14</v>
      </c>
      <c r="E3" s="8" t="s">
        <v>15</v>
      </c>
      <c r="F3" s="8" t="s">
        <v>16</v>
      </c>
      <c r="R3" t="s">
        <v>17</v>
      </c>
      <c r="W3" t="s">
        <v>18</v>
      </c>
      <c r="AB3" t="s">
        <v>19</v>
      </c>
      <c r="AG3" t="s">
        <v>20</v>
      </c>
      <c r="AM3" t="s">
        <v>21</v>
      </c>
    </row>
    <row r="4" spans="1:46">
      <c r="A4" s="10">
        <v>1</v>
      </c>
      <c r="B4">
        <f>H2</f>
        <v>0</v>
      </c>
      <c r="C4" s="2"/>
      <c r="D4" s="10"/>
      <c r="E4" s="2"/>
      <c r="F4" s="2" t="e">
        <f>20*LOG(ABS(C4/B4),10)</f>
        <v>#DIV/0!</v>
      </c>
      <c r="J4" t="s">
        <v>22</v>
      </c>
      <c r="R4" t="s">
        <v>23</v>
      </c>
      <c r="AB4" t="s">
        <v>24</v>
      </c>
    </row>
    <row r="5" spans="1:46">
      <c r="A5" s="10">
        <f>A4+1</f>
        <v>2</v>
      </c>
      <c r="B5">
        <f>H2</f>
        <v>0</v>
      </c>
      <c r="C5" s="2"/>
      <c r="D5" s="10"/>
      <c r="E5" s="2"/>
      <c r="F5" s="2" t="e">
        <f t="shared" ref="F5:F21" si="0">20*LOG(ABS(C5/B5),10)</f>
        <v>#DIV/0!</v>
      </c>
      <c r="J5" t="s">
        <v>92</v>
      </c>
      <c r="R5" t="s">
        <v>26</v>
      </c>
      <c r="W5" s="18"/>
    </row>
    <row r="6" spans="1:46">
      <c r="A6" s="10">
        <f t="shared" ref="A6:A11" si="1">A5+1</f>
        <v>3</v>
      </c>
      <c r="B6">
        <f>H2</f>
        <v>0</v>
      </c>
      <c r="C6" s="2"/>
      <c r="D6" s="10"/>
      <c r="E6" s="2"/>
      <c r="F6" s="2" t="e">
        <f t="shared" si="0"/>
        <v>#DIV/0!</v>
      </c>
      <c r="R6" t="s">
        <v>27</v>
      </c>
      <c r="AQ6" t="s">
        <v>28</v>
      </c>
      <c r="AR6">
        <f>2*PI()*10^3</f>
        <v>6283.1853071795858</v>
      </c>
    </row>
    <row r="7" spans="1:46">
      <c r="A7" s="10">
        <f t="shared" si="1"/>
        <v>4</v>
      </c>
      <c r="B7">
        <f>H2</f>
        <v>0</v>
      </c>
      <c r="C7" s="2"/>
      <c r="D7" s="10"/>
      <c r="E7" s="2"/>
      <c r="F7" s="2" t="e">
        <f t="shared" si="0"/>
        <v>#DIV/0!</v>
      </c>
      <c r="R7" t="s">
        <v>29</v>
      </c>
      <c r="AQ7" t="s">
        <v>30</v>
      </c>
      <c r="AR7">
        <f>5*10^3</f>
        <v>5000</v>
      </c>
    </row>
    <row r="8" spans="1:46">
      <c r="A8" s="10">
        <f t="shared" si="1"/>
        <v>5</v>
      </c>
      <c r="B8">
        <f>H2</f>
        <v>0</v>
      </c>
      <c r="C8" s="2"/>
      <c r="D8" s="10"/>
      <c r="E8" s="2"/>
      <c r="F8" s="2" t="e">
        <f t="shared" si="0"/>
        <v>#DIV/0!</v>
      </c>
      <c r="R8" t="s">
        <v>31</v>
      </c>
      <c r="AQ8" t="s">
        <v>32</v>
      </c>
      <c r="AR8">
        <f>9003*10^-12</f>
        <v>9.0029999999999996E-9</v>
      </c>
    </row>
    <row r="9" spans="1:46">
      <c r="A9" s="10">
        <f t="shared" si="1"/>
        <v>6</v>
      </c>
      <c r="B9">
        <f>H2</f>
        <v>0</v>
      </c>
      <c r="C9" s="2"/>
      <c r="D9" s="10"/>
      <c r="E9" s="2"/>
      <c r="F9" s="2" t="e">
        <f t="shared" si="0"/>
        <v>#DIV/0!</v>
      </c>
      <c r="AG9" t="s">
        <v>33</v>
      </c>
      <c r="AM9" t="s">
        <v>34</v>
      </c>
      <c r="AQ9" t="s">
        <v>35</v>
      </c>
      <c r="AR9">
        <f>225*10^-3</f>
        <v>0.22500000000000001</v>
      </c>
    </row>
    <row r="10" spans="1:46">
      <c r="A10" s="10">
        <f t="shared" si="1"/>
        <v>7</v>
      </c>
      <c r="B10">
        <f>H2</f>
        <v>0</v>
      </c>
      <c r="C10" s="2"/>
      <c r="D10" s="10"/>
      <c r="E10" s="2"/>
      <c r="F10" s="2" t="e">
        <f t="shared" si="0"/>
        <v>#DIV/0!</v>
      </c>
      <c r="AG10" t="s">
        <v>36</v>
      </c>
      <c r="AM10" t="s">
        <v>37</v>
      </c>
    </row>
    <row r="11" spans="1:46">
      <c r="A11" s="10">
        <f t="shared" si="1"/>
        <v>8</v>
      </c>
      <c r="B11">
        <f>H2</f>
        <v>0</v>
      </c>
      <c r="C11" s="2"/>
      <c r="D11" s="10"/>
      <c r="E11" s="2"/>
      <c r="F11" s="2" t="e">
        <f t="shared" si="0"/>
        <v>#DIV/0!</v>
      </c>
      <c r="R11" t="s">
        <v>38</v>
      </c>
      <c r="AG11" s="9" t="s">
        <v>11</v>
      </c>
      <c r="AH11" s="7" t="s">
        <v>39</v>
      </c>
      <c r="AI11" s="8" t="s">
        <v>40</v>
      </c>
      <c r="AJ11" s="7" t="s">
        <v>41</v>
      </c>
      <c r="AK11" s="8" t="s">
        <v>42</v>
      </c>
      <c r="AM11" s="9" t="s">
        <v>11</v>
      </c>
      <c r="AN11" s="7" t="s">
        <v>39</v>
      </c>
      <c r="AO11" s="8" t="s">
        <v>40</v>
      </c>
      <c r="AP11" s="7" t="s">
        <v>41</v>
      </c>
      <c r="AQ11" s="8" t="s">
        <v>42</v>
      </c>
    </row>
    <row r="12" spans="1:46">
      <c r="A12" s="10">
        <f>A11+1</f>
        <v>9</v>
      </c>
      <c r="B12">
        <f>H2</f>
        <v>0</v>
      </c>
      <c r="C12" s="2"/>
      <c r="D12" s="10"/>
      <c r="E12" s="2"/>
      <c r="F12" s="2" t="e">
        <f t="shared" si="0"/>
        <v>#DIV/0!</v>
      </c>
      <c r="R12" s="16"/>
      <c r="S12" s="6"/>
      <c r="T12" s="7" t="s">
        <v>43</v>
      </c>
      <c r="U12" s="8"/>
      <c r="AB12" s="20"/>
      <c r="AC12" s="21"/>
      <c r="AD12" s="21" t="s">
        <v>44</v>
      </c>
      <c r="AE12" s="22"/>
      <c r="AG12" s="10">
        <v>1</v>
      </c>
      <c r="AH12">
        <f t="shared" ref="AH12:AH29" si="2">E4</f>
        <v>0</v>
      </c>
      <c r="AI12" s="2">
        <f>(ATAN(-(PI()*AG12*12732*5*10^(-6))))*180/PI()</f>
        <v>-11.309590259557133</v>
      </c>
      <c r="AJ12" t="e">
        <f t="shared" ref="AJ12:AJ29" si="3">F4</f>
        <v>#DIV/0!</v>
      </c>
      <c r="AK12" s="2">
        <f t="shared" ref="AK12:AK29" si="4">20*LOG((1/((4+((2*PI()*AG12*12732*5*10^(-6))^2))^(1/2))),10)</f>
        <v>-6.1909229306658551</v>
      </c>
      <c r="AM12" s="10">
        <v>1</v>
      </c>
      <c r="AN12">
        <f t="shared" ref="AN12:AN29" si="5">E30</f>
        <v>0</v>
      </c>
      <c r="AO12" s="2">
        <f>ATAN(AR6*AM12*((AR7^2)*AR8+AR9)/((2*AR7-(AR6*AM12)^2)*AR7*AR8*AR9))*180/PI()</f>
        <v>-81.954012629104184</v>
      </c>
      <c r="AP12" t="e">
        <f t="shared" ref="AP12:AP29" si="6">F30</f>
        <v>#DIV/0!</v>
      </c>
      <c r="AQ12" s="2">
        <f>10*LOG(ABS((AR7^2)/(((AR6*AM12)^4)*((AR7*AR9*AR8)^2)+AR6*AM12*((AR9-(AR7^2)*AR8)^2)+(4*(AR7^2)))),10)</f>
        <v>-6.0275379466147569</v>
      </c>
      <c r="AT12">
        <f>20*LOG10(((((2*AR7-((AR6*AM12)^2)*AR7*AR8*AR9)^2)+((AR6*AM12*((AR7^2)*AR8+AR9))^2))^(1/2))*AR7/(((2*AR7-((AR6*AM12)^2)*AR7*AR9*AR8)^2)-((AM12)^2)*(((AR7^2)*AR8+AR9)^2)))</f>
        <v>-5.3047785913715657</v>
      </c>
    </row>
    <row r="13" spans="1:46">
      <c r="A13" s="10">
        <f>A12+1</f>
        <v>10</v>
      </c>
      <c r="B13">
        <f>H2</f>
        <v>0</v>
      </c>
      <c r="C13" s="2"/>
      <c r="D13" s="10"/>
      <c r="E13" s="2"/>
      <c r="F13" s="2" t="e">
        <f t="shared" si="0"/>
        <v>#DIV/0!</v>
      </c>
      <c r="R13" s="11"/>
      <c r="S13" t="s">
        <v>45</v>
      </c>
      <c r="T13" t="s">
        <v>46</v>
      </c>
      <c r="U13" s="2" t="s">
        <v>47</v>
      </c>
      <c r="W13" s="16"/>
      <c r="X13" s="6"/>
      <c r="Y13" s="7" t="s">
        <v>43</v>
      </c>
      <c r="Z13" s="8"/>
      <c r="AB13" s="23"/>
      <c r="AC13" s="19" t="s">
        <v>48</v>
      </c>
      <c r="AD13" s="19" t="s">
        <v>49</v>
      </c>
      <c r="AE13" s="24" t="s">
        <v>50</v>
      </c>
      <c r="AG13" s="10">
        <f>AG12+1</f>
        <v>2</v>
      </c>
      <c r="AH13">
        <f t="shared" si="2"/>
        <v>0</v>
      </c>
      <c r="AI13" s="2">
        <f t="shared" ref="AI13:AI29" si="7">(ATAN(-(PI()*AG13*12732*5*10^(-6))))*180/PI()</f>
        <v>-21.800795858522307</v>
      </c>
      <c r="AJ13" t="e">
        <f t="shared" si="3"/>
        <v>#DIV/0!</v>
      </c>
      <c r="AK13" s="2">
        <f t="shared" si="4"/>
        <v>-6.6651425963799511</v>
      </c>
      <c r="AM13" s="10">
        <f t="shared" ref="AM13:AM21" si="8">AM12+1</f>
        <v>2</v>
      </c>
      <c r="AN13">
        <f t="shared" si="5"/>
        <v>0</v>
      </c>
      <c r="AO13" s="2" t="s">
        <v>51</v>
      </c>
      <c r="AP13" t="e">
        <f t="shared" si="6"/>
        <v>#DIV/0!</v>
      </c>
      <c r="AQ13" s="2" t="s">
        <v>52</v>
      </c>
    </row>
    <row r="14" spans="1:46">
      <c r="A14" s="10">
        <f>A13+5</f>
        <v>15</v>
      </c>
      <c r="B14">
        <f>H2</f>
        <v>0</v>
      </c>
      <c r="C14" s="2"/>
      <c r="D14" s="10"/>
      <c r="E14" s="2"/>
      <c r="F14" s="2" t="e">
        <f t="shared" si="0"/>
        <v>#DIV/0!</v>
      </c>
      <c r="G14" t="s">
        <v>53</v>
      </c>
      <c r="R14" s="1" t="s">
        <v>54</v>
      </c>
      <c r="S14" s="13" t="e">
        <f>(F5-F4)/(LOG(A5,2)-LOG(A4,2))</f>
        <v>#DIV/0!</v>
      </c>
      <c r="T14" s="14" t="e">
        <f>(F7-F5)/(LOG(A7,2)-LOG(A5,2))</f>
        <v>#DIV/0!</v>
      </c>
      <c r="U14" s="15" t="e">
        <f>(F11-F7)/(LOG(A11,2)-LOG(A7,2))</f>
        <v>#DIV/0!</v>
      </c>
      <c r="V14" t="s">
        <v>55</v>
      </c>
      <c r="W14" s="11"/>
      <c r="X14" t="s">
        <v>45</v>
      </c>
      <c r="Y14" t="s">
        <v>46</v>
      </c>
      <c r="Z14" s="2" t="s">
        <v>47</v>
      </c>
      <c r="AA14" t="s">
        <v>55</v>
      </c>
      <c r="AB14" s="25" t="s">
        <v>56</v>
      </c>
      <c r="AC14" s="26">
        <f>(E5-E4)/(A5-A4)</f>
        <v>0</v>
      </c>
      <c r="AD14" s="27">
        <f>(E7-E5)/(A7-A5)</f>
        <v>0</v>
      </c>
      <c r="AE14" s="28">
        <f>(E11-E7)/(A11-A7)</f>
        <v>0</v>
      </c>
      <c r="AG14" s="10">
        <f t="shared" ref="AG14:AG19" si="9">AG13+1</f>
        <v>3</v>
      </c>
      <c r="AH14">
        <f t="shared" si="2"/>
        <v>0</v>
      </c>
      <c r="AI14" s="2">
        <f t="shared" si="7"/>
        <v>-30.962971446318093</v>
      </c>
      <c r="AJ14" t="e">
        <f t="shared" si="3"/>
        <v>#DIV/0!</v>
      </c>
      <c r="AK14" s="2">
        <f t="shared" si="4"/>
        <v>-7.3559175879280456</v>
      </c>
      <c r="AM14" s="10">
        <f t="shared" si="8"/>
        <v>3</v>
      </c>
      <c r="AN14">
        <f t="shared" si="5"/>
        <v>0</v>
      </c>
      <c r="AO14" s="2"/>
      <c r="AP14" t="e">
        <f t="shared" si="6"/>
        <v>#DIV/0!</v>
      </c>
      <c r="AQ14" s="2"/>
    </row>
    <row r="15" spans="1:46">
      <c r="A15" s="10">
        <f t="shared" ref="A15:A20" si="10">A14+5</f>
        <v>20</v>
      </c>
      <c r="B15">
        <f>H2</f>
        <v>0</v>
      </c>
      <c r="C15" s="2"/>
      <c r="D15" s="10"/>
      <c r="E15" s="2"/>
      <c r="F15" s="2" t="e">
        <f t="shared" si="0"/>
        <v>#DIV/0!</v>
      </c>
      <c r="R15" s="1" t="s">
        <v>57</v>
      </c>
      <c r="S15" s="1" t="e">
        <f>(F31-F30)/(LOG(A31,2)-LOG(A30,2))</f>
        <v>#DIV/0!</v>
      </c>
      <c r="T15" t="e">
        <f>(F33-F31)/(LOG(A33,2)-LOG(A31,2))</f>
        <v>#DIV/0!</v>
      </c>
      <c r="U15" s="2" t="e">
        <f>(F37-F33)/(LOG(A37,2)-LOG(A33,2))</f>
        <v>#DIV/0!</v>
      </c>
      <c r="W15" s="11" t="s">
        <v>58</v>
      </c>
      <c r="X15" s="13" t="e">
        <f>F56-F55</f>
        <v>#DIV/0!</v>
      </c>
      <c r="Y15" s="14" t="e">
        <f>F58-F56</f>
        <v>#DIV/0!</v>
      </c>
      <c r="Z15" s="15" t="e">
        <f>F62-F58</f>
        <v>#DIV/0!</v>
      </c>
      <c r="AB15" s="25" t="s">
        <v>59</v>
      </c>
      <c r="AC15" s="25">
        <f>(E31-E30)/(A31-A30)</f>
        <v>0</v>
      </c>
      <c r="AD15" s="19">
        <f>(E33-E31)/(A33-A31)</f>
        <v>0</v>
      </c>
      <c r="AE15" s="24">
        <f>(E37-E33)/(A37-A33)</f>
        <v>0</v>
      </c>
      <c r="AG15" s="10">
        <f t="shared" si="9"/>
        <v>4</v>
      </c>
      <c r="AH15">
        <f t="shared" si="2"/>
        <v>0</v>
      </c>
      <c r="AI15" s="2">
        <f t="shared" si="7"/>
        <v>-38.658940188406802</v>
      </c>
      <c r="AJ15" t="e">
        <f t="shared" si="3"/>
        <v>#DIV/0!</v>
      </c>
      <c r="AK15" s="2">
        <f t="shared" si="4"/>
        <v>-8.1689331182099778</v>
      </c>
      <c r="AM15" s="10">
        <f t="shared" si="8"/>
        <v>4</v>
      </c>
      <c r="AN15">
        <f t="shared" si="5"/>
        <v>0</v>
      </c>
      <c r="AO15" s="2"/>
      <c r="AP15" t="e">
        <f t="shared" si="6"/>
        <v>#DIV/0!</v>
      </c>
      <c r="AQ15" s="2"/>
    </row>
    <row r="16" spans="1:46">
      <c r="A16" s="10">
        <f t="shared" si="10"/>
        <v>25</v>
      </c>
      <c r="B16">
        <f>H2</f>
        <v>0</v>
      </c>
      <c r="C16" s="2"/>
      <c r="D16" s="10"/>
      <c r="E16" s="2"/>
      <c r="F16" s="2" t="e">
        <f t="shared" si="0"/>
        <v>#DIV/0!</v>
      </c>
      <c r="R16" s="3" t="s">
        <v>58</v>
      </c>
      <c r="S16" s="3" t="e">
        <f>(F56-F55)/(LOG(A56,2)-LOG(A55,2))</f>
        <v>#DIV/0!</v>
      </c>
      <c r="T16" s="4" t="e">
        <f>(F58-F56)/(LOG(A58,2)-LOG(A56,2))</f>
        <v>#DIV/0!</v>
      </c>
      <c r="U16" s="5" t="e">
        <f>(F62-F58)/(LOG(A62,2)-LOG(A58,2))</f>
        <v>#DIV/0!</v>
      </c>
      <c r="W16" s="9" t="s">
        <v>60</v>
      </c>
      <c r="X16" s="3" t="e">
        <f>F82-F81</f>
        <v>#DIV/0!</v>
      </c>
      <c r="Y16" s="4" t="e">
        <f>F84-F82</f>
        <v>#DIV/0!</v>
      </c>
      <c r="Z16" s="5" t="e">
        <f>F88-F84</f>
        <v>#DIV/0!</v>
      </c>
      <c r="AB16" s="29" t="s">
        <v>61</v>
      </c>
      <c r="AC16" s="29">
        <f>(E56-E55)/(A56-A55)</f>
        <v>0</v>
      </c>
      <c r="AD16" s="30">
        <f>(E58-E56)/(A58-A56)</f>
        <v>0</v>
      </c>
      <c r="AE16" s="31">
        <f>(E62-E58)/(A62-A58)</f>
        <v>0</v>
      </c>
      <c r="AG16" s="10">
        <f t="shared" si="9"/>
        <v>5</v>
      </c>
      <c r="AH16">
        <f t="shared" si="2"/>
        <v>0</v>
      </c>
      <c r="AI16" s="2">
        <f t="shared" si="7"/>
        <v>-44.999110229641509</v>
      </c>
      <c r="AJ16" t="e">
        <f t="shared" si="3"/>
        <v>#DIV/0!</v>
      </c>
      <c r="AK16" s="2">
        <f t="shared" si="4"/>
        <v>-9.0307649851655185</v>
      </c>
      <c r="AM16" s="10">
        <f t="shared" si="8"/>
        <v>5</v>
      </c>
      <c r="AN16">
        <f t="shared" si="5"/>
        <v>0</v>
      </c>
      <c r="AO16" s="2"/>
      <c r="AP16" t="e">
        <f t="shared" si="6"/>
        <v>#DIV/0!</v>
      </c>
      <c r="AQ16" s="2"/>
    </row>
    <row r="17" spans="1:43">
      <c r="A17" s="10">
        <f t="shared" si="10"/>
        <v>30</v>
      </c>
      <c r="B17">
        <f>H2</f>
        <v>0</v>
      </c>
      <c r="C17" s="2"/>
      <c r="D17" s="10"/>
      <c r="E17" s="2"/>
      <c r="F17" s="2" t="e">
        <f t="shared" si="0"/>
        <v>#DIV/0!</v>
      </c>
      <c r="AG17" s="10">
        <f t="shared" si="9"/>
        <v>6</v>
      </c>
      <c r="AH17">
        <f t="shared" si="2"/>
        <v>0</v>
      </c>
      <c r="AI17" s="2">
        <f t="shared" si="7"/>
        <v>-50.193553721324761</v>
      </c>
      <c r="AJ17" t="e">
        <f t="shared" si="3"/>
        <v>#DIV/0!</v>
      </c>
      <c r="AK17" s="2">
        <f t="shared" si="4"/>
        <v>-9.8943389679869416</v>
      </c>
      <c r="AM17" s="10">
        <f t="shared" si="8"/>
        <v>6</v>
      </c>
      <c r="AN17">
        <f t="shared" si="5"/>
        <v>0</v>
      </c>
      <c r="AO17" s="2"/>
      <c r="AP17" t="e">
        <f t="shared" si="6"/>
        <v>#DIV/0!</v>
      </c>
      <c r="AQ17" s="2"/>
    </row>
    <row r="18" spans="1:43">
      <c r="A18" s="10">
        <f t="shared" si="10"/>
        <v>35</v>
      </c>
      <c r="B18">
        <f>H2</f>
        <v>0</v>
      </c>
      <c r="C18" s="2"/>
      <c r="D18" s="10"/>
      <c r="E18" s="2"/>
      <c r="F18" s="2" t="e">
        <f t="shared" si="0"/>
        <v>#DIV/0!</v>
      </c>
      <c r="AG18" s="10">
        <f t="shared" si="9"/>
        <v>7</v>
      </c>
      <c r="AH18">
        <f t="shared" si="2"/>
        <v>0</v>
      </c>
      <c r="AI18" s="2">
        <f t="shared" si="7"/>
        <v>-54.461480529122994</v>
      </c>
      <c r="AJ18" t="e">
        <f t="shared" si="3"/>
        <v>#DIV/0!</v>
      </c>
      <c r="AK18" s="2">
        <f t="shared" si="4"/>
        <v>-10.733338391808726</v>
      </c>
      <c r="AM18" s="10">
        <f t="shared" si="8"/>
        <v>7</v>
      </c>
      <c r="AN18">
        <f t="shared" si="5"/>
        <v>0</v>
      </c>
      <c r="AO18" s="2"/>
      <c r="AP18" t="e">
        <f t="shared" si="6"/>
        <v>#DIV/0!</v>
      </c>
      <c r="AQ18" s="2"/>
    </row>
    <row r="19" spans="1:43">
      <c r="A19" s="10">
        <f t="shared" si="10"/>
        <v>40</v>
      </c>
      <c r="B19">
        <f>H2</f>
        <v>0</v>
      </c>
      <c r="C19" s="2"/>
      <c r="D19" s="10"/>
      <c r="E19" s="2"/>
      <c r="F19" s="2" t="e">
        <f t="shared" si="0"/>
        <v>#DIV/0!</v>
      </c>
      <c r="R19" t="s">
        <v>62</v>
      </c>
      <c r="AG19" s="10">
        <f t="shared" si="9"/>
        <v>8</v>
      </c>
      <c r="AH19">
        <f t="shared" si="2"/>
        <v>0</v>
      </c>
      <c r="AI19" s="2">
        <f t="shared" si="7"/>
        <v>-57.993816992893173</v>
      </c>
      <c r="AJ19" t="e">
        <f t="shared" si="3"/>
        <v>#DIV/0!</v>
      </c>
      <c r="AK19" s="2">
        <f t="shared" si="4"/>
        <v>-11.534905900132058</v>
      </c>
      <c r="AM19" s="10">
        <f t="shared" si="8"/>
        <v>8</v>
      </c>
      <c r="AN19">
        <f t="shared" si="5"/>
        <v>0</v>
      </c>
      <c r="AO19" s="2"/>
      <c r="AP19" t="e">
        <f t="shared" si="6"/>
        <v>#DIV/0!</v>
      </c>
      <c r="AQ19" s="2"/>
    </row>
    <row r="20" spans="1:43">
      <c r="A20" s="10">
        <f t="shared" si="10"/>
        <v>45</v>
      </c>
      <c r="B20">
        <f>H2</f>
        <v>0</v>
      </c>
      <c r="C20" s="2"/>
      <c r="D20" s="10"/>
      <c r="E20" s="2"/>
      <c r="F20" s="2" t="e">
        <f t="shared" si="0"/>
        <v>#DIV/0!</v>
      </c>
      <c r="R20" s="16"/>
      <c r="S20" s="6"/>
      <c r="T20" s="7" t="s">
        <v>43</v>
      </c>
      <c r="U20" s="8"/>
      <c r="AB20" s="16"/>
      <c r="AC20" s="6"/>
      <c r="AD20" s="7" t="s">
        <v>43</v>
      </c>
      <c r="AE20" s="8"/>
      <c r="AG20" s="10">
        <f>AG19+1</f>
        <v>9</v>
      </c>
      <c r="AH20">
        <f t="shared" si="2"/>
        <v>0</v>
      </c>
      <c r="AI20" s="2">
        <f t="shared" si="7"/>
        <v>-60.944640429326057</v>
      </c>
      <c r="AJ20" t="e">
        <f t="shared" si="3"/>
        <v>#DIV/0!</v>
      </c>
      <c r="AK20" s="2">
        <f t="shared" si="4"/>
        <v>-12.294052332891772</v>
      </c>
      <c r="AM20" s="10">
        <f t="shared" si="8"/>
        <v>9</v>
      </c>
      <c r="AN20">
        <f t="shared" si="5"/>
        <v>0</v>
      </c>
      <c r="AO20" s="2"/>
      <c r="AP20" t="e">
        <f t="shared" si="6"/>
        <v>#DIV/0!</v>
      </c>
      <c r="AQ20" s="2"/>
    </row>
    <row r="21" spans="1:43">
      <c r="A21" s="11">
        <f>A20+5</f>
        <v>50</v>
      </c>
      <c r="B21" s="4">
        <f>H2</f>
        <v>0</v>
      </c>
      <c r="C21" s="5"/>
      <c r="D21" s="11"/>
      <c r="E21" s="5"/>
      <c r="F21" s="5" t="e">
        <f t="shared" si="0"/>
        <v>#DIV/0!</v>
      </c>
      <c r="R21" s="11"/>
      <c r="S21" s="4" t="s">
        <v>63</v>
      </c>
      <c r="T21" s="4" t="s">
        <v>64</v>
      </c>
      <c r="U21" s="5" t="s">
        <v>65</v>
      </c>
      <c r="W21" s="16"/>
      <c r="X21" s="6"/>
      <c r="Y21" s="7" t="s">
        <v>43</v>
      </c>
      <c r="Z21" s="8"/>
      <c r="AB21" s="11"/>
      <c r="AC21" s="4" t="s">
        <v>63</v>
      </c>
      <c r="AD21" s="4" t="s">
        <v>64</v>
      </c>
      <c r="AE21" s="5" t="s">
        <v>65</v>
      </c>
      <c r="AG21" s="10">
        <f>AG20+1</f>
        <v>10</v>
      </c>
      <c r="AH21">
        <f t="shared" si="2"/>
        <v>0</v>
      </c>
      <c r="AI21" s="2">
        <f t="shared" si="7"/>
        <v>-63.434237000002675</v>
      </c>
      <c r="AJ21" t="e">
        <f t="shared" si="3"/>
        <v>#DIV/0!</v>
      </c>
      <c r="AK21" s="2">
        <f t="shared" si="4"/>
        <v>-13.010084139022638</v>
      </c>
      <c r="AM21" s="10">
        <f t="shared" si="8"/>
        <v>10</v>
      </c>
      <c r="AN21">
        <f t="shared" si="5"/>
        <v>0</v>
      </c>
      <c r="AO21" s="2"/>
      <c r="AP21" t="e">
        <f t="shared" si="6"/>
        <v>#DIV/0!</v>
      </c>
      <c r="AQ21" s="2"/>
    </row>
    <row r="22" spans="1:43">
      <c r="R22" s="10" t="s">
        <v>54</v>
      </c>
      <c r="S22" s="13" t="e">
        <f>(F13-F8)/(LOG(A13,2)-LOG(A8,2))</f>
        <v>#DIV/0!</v>
      </c>
      <c r="T22" s="14" t="e">
        <f>(F15-F13)/(LOG(A15,2)-LOG(A13,2))</f>
        <v>#DIV/0!</v>
      </c>
      <c r="U22" s="15" t="e">
        <f>(F19-F15)/(LOG(A19,2)-LOG(A15,2))</f>
        <v>#DIV/0!</v>
      </c>
      <c r="V22" t="s">
        <v>66</v>
      </c>
      <c r="W22" s="11"/>
      <c r="X22" s="4" t="s">
        <v>63</v>
      </c>
      <c r="Y22" s="4" t="s">
        <v>64</v>
      </c>
      <c r="Z22" s="5" t="s">
        <v>65</v>
      </c>
      <c r="AA22" t="s">
        <v>55</v>
      </c>
      <c r="AB22" s="10" t="s">
        <v>54</v>
      </c>
      <c r="AC22" s="13">
        <f>(E8-E4)/(A8-A4)</f>
        <v>0</v>
      </c>
      <c r="AD22" s="14">
        <f>(E13-E8)/(A13-A8)</f>
        <v>0</v>
      </c>
      <c r="AE22" s="15">
        <f>(E19-E15)/(A19-A15)</f>
        <v>0</v>
      </c>
      <c r="AG22" s="10">
        <f>AG21+5</f>
        <v>15</v>
      </c>
      <c r="AH22">
        <f t="shared" si="2"/>
        <v>0</v>
      </c>
      <c r="AI22" s="2">
        <f t="shared" si="7"/>
        <v>-71.564517308230322</v>
      </c>
      <c r="AJ22" t="e">
        <f t="shared" si="3"/>
        <v>#DIV/0!</v>
      </c>
      <c r="AK22" s="2">
        <f t="shared" si="4"/>
        <v>-16.020357117706197</v>
      </c>
      <c r="AM22" s="10">
        <f t="shared" ref="AM22:AM29" si="11">AM21+5</f>
        <v>15</v>
      </c>
      <c r="AN22">
        <f t="shared" si="5"/>
        <v>0</v>
      </c>
      <c r="AO22" s="2"/>
      <c r="AP22" t="e">
        <f t="shared" si="6"/>
        <v>#DIV/0!</v>
      </c>
      <c r="AQ22" s="2"/>
    </row>
    <row r="23" spans="1:43">
      <c r="R23" s="10" t="s">
        <v>57</v>
      </c>
      <c r="S23" s="1" t="e">
        <f>(F39-F34)/(LOG(A39,2)-LOG(A34,2))</f>
        <v>#DIV/0!</v>
      </c>
      <c r="T23" t="e">
        <f>(F41-F39)/(LOG(A41,2)-LOG(A39,2))</f>
        <v>#DIV/0!</v>
      </c>
      <c r="U23" s="2" t="e">
        <f>(F45-F41)/(LOG(A45,2)-LOG(A41,2))</f>
        <v>#DIV/0!</v>
      </c>
      <c r="W23" s="11" t="s">
        <v>58</v>
      </c>
      <c r="X23" s="13" t="e">
        <f>F64-F59</f>
        <v>#DIV/0!</v>
      </c>
      <c r="Y23" s="14" t="e">
        <f>F66-F39</f>
        <v>#DIV/0!</v>
      </c>
      <c r="Z23" s="15" t="e">
        <f>F70-F66</f>
        <v>#DIV/0!</v>
      </c>
      <c r="AB23" s="10" t="s">
        <v>57</v>
      </c>
      <c r="AC23" s="1">
        <f>(E34-E30)/(A34-A30)</f>
        <v>0</v>
      </c>
      <c r="AD23">
        <f>(E39-E34)/(A39-A34)</f>
        <v>0</v>
      </c>
      <c r="AE23" s="2">
        <f>(E45-E41)/(A45-A41)</f>
        <v>0</v>
      </c>
      <c r="AG23" s="10">
        <f t="shared" ref="AG23:AG28" si="12">AG22+5</f>
        <v>20</v>
      </c>
      <c r="AH23">
        <f t="shared" si="2"/>
        <v>0</v>
      </c>
      <c r="AI23" s="2">
        <f t="shared" si="7"/>
        <v>-75.96333781087317</v>
      </c>
      <c r="AJ23" t="e">
        <f t="shared" si="3"/>
        <v>#DIV/0!</v>
      </c>
      <c r="AK23" s="2">
        <f t="shared" si="4"/>
        <v>-18.324835222870007</v>
      </c>
      <c r="AM23" s="10">
        <f t="shared" si="11"/>
        <v>20</v>
      </c>
      <c r="AN23">
        <f t="shared" si="5"/>
        <v>0</v>
      </c>
      <c r="AO23" s="2"/>
      <c r="AP23" t="e">
        <f t="shared" si="6"/>
        <v>#DIV/0!</v>
      </c>
      <c r="AQ23" s="2"/>
    </row>
    <row r="24" spans="1:43">
      <c r="R24" s="11" t="s">
        <v>58</v>
      </c>
      <c r="S24" s="3" t="e">
        <f>(F64-F59)/(LOG(A64,2)-LOG(A59,2))</f>
        <v>#DIV/0!</v>
      </c>
      <c r="T24" s="4" t="e">
        <f>(F66-F64)/(LOG(A66,2)-LOG(A64,2))</f>
        <v>#DIV/0!</v>
      </c>
      <c r="U24" s="5" t="e">
        <f>(F70-F66)/(LOG(A70,2)-LOG(A66,2))</f>
        <v>#DIV/0!</v>
      </c>
      <c r="W24" s="9" t="s">
        <v>60</v>
      </c>
      <c r="X24" s="3" t="e">
        <f>F90-F85</f>
        <v>#DIV/0!</v>
      </c>
      <c r="Y24" s="4" t="e">
        <f>F92-F90</f>
        <v>#DIV/0!</v>
      </c>
      <c r="Z24" s="5" t="e">
        <f>F96-F92</f>
        <v>#DIV/0!</v>
      </c>
      <c r="AB24" s="11" t="s">
        <v>58</v>
      </c>
      <c r="AC24" s="3">
        <f>(E59-E55)/(A59-A55)</f>
        <v>0</v>
      </c>
      <c r="AD24" s="4">
        <f>(E64-E59)/(A64-A59)</f>
        <v>0</v>
      </c>
      <c r="AE24" s="5">
        <f>(E70-E66)/(A70-A66)</f>
        <v>0</v>
      </c>
      <c r="AG24" s="10">
        <f t="shared" si="12"/>
        <v>25</v>
      </c>
      <c r="AH24">
        <f t="shared" si="2"/>
        <v>0</v>
      </c>
      <c r="AI24" s="2">
        <f t="shared" si="7"/>
        <v>-78.68972530170538</v>
      </c>
      <c r="AJ24" t="e">
        <f t="shared" si="3"/>
        <v>#DIV/0!</v>
      </c>
      <c r="AK24" s="2">
        <f t="shared" si="4"/>
        <v>-20.170073995511849</v>
      </c>
      <c r="AM24" s="10">
        <f t="shared" si="11"/>
        <v>25</v>
      </c>
      <c r="AN24">
        <f t="shared" si="5"/>
        <v>0</v>
      </c>
      <c r="AO24" s="2"/>
      <c r="AP24" t="e">
        <f t="shared" si="6"/>
        <v>#DIV/0!</v>
      </c>
      <c r="AQ24" s="2"/>
    </row>
    <row r="25" spans="1:43">
      <c r="AG25" s="10">
        <f t="shared" si="12"/>
        <v>30</v>
      </c>
      <c r="AH25">
        <f t="shared" si="2"/>
        <v>0</v>
      </c>
      <c r="AI25" s="2">
        <f t="shared" si="7"/>
        <v>-80.537389213564822</v>
      </c>
      <c r="AJ25" t="e">
        <f t="shared" si="3"/>
        <v>#DIV/0!</v>
      </c>
      <c r="AK25" s="2">
        <f t="shared" si="4"/>
        <v>-21.702354671653659</v>
      </c>
      <c r="AM25" s="10">
        <f t="shared" si="11"/>
        <v>30</v>
      </c>
      <c r="AN25">
        <f t="shared" si="5"/>
        <v>0</v>
      </c>
      <c r="AO25" s="2"/>
      <c r="AP25" t="e">
        <f t="shared" si="6"/>
        <v>#DIV/0!</v>
      </c>
      <c r="AQ25" s="2"/>
    </row>
    <row r="26" spans="1:43">
      <c r="J26" t="s">
        <v>93</v>
      </c>
      <c r="AG26" s="10">
        <f t="shared" si="12"/>
        <v>35</v>
      </c>
      <c r="AH26">
        <f t="shared" si="2"/>
        <v>0</v>
      </c>
      <c r="AI26" s="2">
        <f t="shared" si="7"/>
        <v>-81.8696485064294</v>
      </c>
      <c r="AJ26" t="e">
        <f t="shared" si="3"/>
        <v>#DIV/0!</v>
      </c>
      <c r="AK26" s="2">
        <f t="shared" si="4"/>
        <v>-23.010035578580723</v>
      </c>
      <c r="AM26" s="10">
        <f t="shared" si="11"/>
        <v>35</v>
      </c>
      <c r="AN26">
        <f t="shared" si="5"/>
        <v>0</v>
      </c>
      <c r="AO26" s="2"/>
      <c r="AP26" t="e">
        <f t="shared" si="6"/>
        <v>#DIV/0!</v>
      </c>
      <c r="AQ26" s="2"/>
    </row>
    <row r="27" spans="1:43">
      <c r="A27" s="12" t="s">
        <v>68</v>
      </c>
      <c r="B27" s="12"/>
      <c r="AG27" s="10">
        <f t="shared" si="12"/>
        <v>40</v>
      </c>
      <c r="AH27">
        <f t="shared" si="2"/>
        <v>0</v>
      </c>
      <c r="AI27" s="2">
        <f t="shared" si="7"/>
        <v>-82.874764627405597</v>
      </c>
      <c r="AJ27" t="e">
        <f t="shared" si="3"/>
        <v>#DIV/0!</v>
      </c>
      <c r="AK27" s="2">
        <f t="shared" si="4"/>
        <v>-24.149467856502412</v>
      </c>
      <c r="AM27" s="10">
        <f t="shared" si="11"/>
        <v>40</v>
      </c>
      <c r="AN27">
        <f t="shared" si="5"/>
        <v>0</v>
      </c>
      <c r="AO27" s="2"/>
      <c r="AP27" t="e">
        <f t="shared" si="6"/>
        <v>#DIV/0!</v>
      </c>
      <c r="AQ27" s="2"/>
    </row>
    <row r="28" spans="1:43">
      <c r="B28" t="s">
        <v>3</v>
      </c>
      <c r="D28" t="s">
        <v>4</v>
      </c>
      <c r="F28" t="s">
        <v>5</v>
      </c>
      <c r="R28" s="17"/>
      <c r="S28" s="17"/>
      <c r="T28" s="17"/>
      <c r="U28" s="17"/>
      <c r="V28" s="17"/>
      <c r="AG28" s="10">
        <f t="shared" si="12"/>
        <v>45</v>
      </c>
      <c r="AH28">
        <f t="shared" si="2"/>
        <v>0</v>
      </c>
      <c r="AI28" s="2">
        <f t="shared" si="7"/>
        <v>-83.659612935686326</v>
      </c>
      <c r="AJ28" t="e">
        <f t="shared" si="3"/>
        <v>#DIV/0!</v>
      </c>
      <c r="AK28" s="2">
        <f t="shared" si="4"/>
        <v>-25.158471953443602</v>
      </c>
      <c r="AM28" s="10">
        <f t="shared" si="11"/>
        <v>45</v>
      </c>
      <c r="AN28">
        <f t="shared" si="5"/>
        <v>0</v>
      </c>
      <c r="AO28" s="2"/>
      <c r="AP28" t="e">
        <f t="shared" si="6"/>
        <v>#DIV/0!</v>
      </c>
      <c r="AQ28" s="2"/>
    </row>
    <row r="29" spans="1:43">
      <c r="A29" s="9" t="s">
        <v>11</v>
      </c>
      <c r="B29" s="7" t="s">
        <v>12</v>
      </c>
      <c r="C29" s="8" t="s">
        <v>13</v>
      </c>
      <c r="D29" s="9" t="s">
        <v>14</v>
      </c>
      <c r="E29" s="8" t="s">
        <v>15</v>
      </c>
      <c r="F29" s="8" t="s">
        <v>16</v>
      </c>
      <c r="R29" s="17"/>
      <c r="S29" s="17"/>
      <c r="T29" s="17"/>
      <c r="U29" s="17"/>
      <c r="V29" s="17"/>
      <c r="AG29" s="11">
        <f>AG28+5</f>
        <v>50</v>
      </c>
      <c r="AH29" s="4">
        <f t="shared" si="2"/>
        <v>0</v>
      </c>
      <c r="AI29" s="5">
        <f t="shared" si="7"/>
        <v>-84.289230667668136</v>
      </c>
      <c r="AJ29" s="4" t="e">
        <f t="shared" si="3"/>
        <v>#DIV/0!</v>
      </c>
      <c r="AK29" s="5">
        <f t="shared" si="4"/>
        <v>-26.063546548517632</v>
      </c>
      <c r="AM29" s="11">
        <f t="shared" si="11"/>
        <v>50</v>
      </c>
      <c r="AN29">
        <f t="shared" si="5"/>
        <v>0</v>
      </c>
      <c r="AO29" s="2"/>
      <c r="AP29" t="e">
        <f t="shared" si="6"/>
        <v>#DIV/0!</v>
      </c>
      <c r="AQ29" s="5"/>
    </row>
    <row r="30" spans="1:43">
      <c r="A30" s="10">
        <v>1</v>
      </c>
      <c r="B30">
        <f>H2</f>
        <v>0</v>
      </c>
      <c r="C30" s="2"/>
      <c r="D30" s="10"/>
      <c r="E30" s="2"/>
      <c r="F30" s="2" t="e">
        <f>20*LOG(ABS(C30/B30),10)</f>
        <v>#DIV/0!</v>
      </c>
      <c r="R30" s="17"/>
      <c r="S30" s="17"/>
      <c r="T30" s="17"/>
      <c r="U30" s="17"/>
      <c r="V30" s="17"/>
    </row>
    <row r="31" spans="1:43">
      <c r="A31" s="10">
        <f>A30+1</f>
        <v>2</v>
      </c>
      <c r="B31">
        <f>H2</f>
        <v>0</v>
      </c>
      <c r="C31" s="2"/>
      <c r="D31" s="10"/>
      <c r="E31" s="2"/>
      <c r="F31" s="2" t="e">
        <f t="shared" ref="F31:F37" si="13">20*LOG(ABS(C31/B31),10)</f>
        <v>#DIV/0!</v>
      </c>
      <c r="R31" s="17"/>
      <c r="S31" s="17"/>
      <c r="T31" s="17"/>
      <c r="U31" s="17"/>
      <c r="V31" s="17"/>
      <c r="AH31" t="s">
        <v>70</v>
      </c>
    </row>
    <row r="32" spans="1:43">
      <c r="A32" s="10">
        <f t="shared" ref="A32:A37" si="14">A31+1</f>
        <v>3</v>
      </c>
      <c r="B32">
        <f>H2</f>
        <v>0</v>
      </c>
      <c r="C32" s="2"/>
      <c r="D32" s="10"/>
      <c r="E32" s="2"/>
      <c r="F32" s="2" t="e">
        <f>20*LOG(ABS(C32/B32),10)</f>
        <v>#DIV/0!</v>
      </c>
      <c r="R32" s="17"/>
      <c r="S32" s="17"/>
      <c r="T32" s="17"/>
      <c r="U32" s="17"/>
      <c r="V32" s="17"/>
    </row>
    <row r="33" spans="1:22">
      <c r="A33" s="10">
        <f t="shared" si="14"/>
        <v>4</v>
      </c>
      <c r="B33">
        <f>H2</f>
        <v>0</v>
      </c>
      <c r="C33" s="2"/>
      <c r="D33" s="10"/>
      <c r="E33" s="2"/>
      <c r="F33" s="2" t="e">
        <f t="shared" si="13"/>
        <v>#DIV/0!</v>
      </c>
      <c r="R33" s="17"/>
      <c r="S33" s="17"/>
      <c r="T33" s="17"/>
      <c r="U33" s="17"/>
      <c r="V33" s="17"/>
    </row>
    <row r="34" spans="1:22">
      <c r="A34" s="10">
        <f t="shared" si="14"/>
        <v>5</v>
      </c>
      <c r="B34">
        <f>H2</f>
        <v>0</v>
      </c>
      <c r="C34" s="2"/>
      <c r="D34" s="10"/>
      <c r="E34" s="2"/>
      <c r="F34" s="2" t="e">
        <f t="shared" si="13"/>
        <v>#DIV/0!</v>
      </c>
      <c r="R34" s="17"/>
      <c r="S34" s="17"/>
      <c r="T34" s="17"/>
      <c r="U34" s="17"/>
      <c r="V34" s="17"/>
    </row>
    <row r="35" spans="1:22">
      <c r="A35" s="10">
        <f t="shared" si="14"/>
        <v>6</v>
      </c>
      <c r="B35">
        <f>H2</f>
        <v>0</v>
      </c>
      <c r="C35" s="2"/>
      <c r="D35" s="10"/>
      <c r="E35" s="2"/>
      <c r="F35" s="2" t="e">
        <f t="shared" si="13"/>
        <v>#DIV/0!</v>
      </c>
      <c r="R35" s="17"/>
      <c r="S35" s="17"/>
      <c r="T35" s="17"/>
      <c r="U35" s="17"/>
      <c r="V35" s="17"/>
    </row>
    <row r="36" spans="1:22">
      <c r="A36" s="10">
        <f t="shared" si="14"/>
        <v>7</v>
      </c>
      <c r="B36">
        <f>H2</f>
        <v>0</v>
      </c>
      <c r="C36" s="2"/>
      <c r="D36" s="10"/>
      <c r="E36" s="2"/>
      <c r="F36" s="2" t="e">
        <f t="shared" si="13"/>
        <v>#DIV/0!</v>
      </c>
      <c r="R36" s="17"/>
      <c r="S36" s="17"/>
      <c r="T36" s="17"/>
      <c r="U36" s="17"/>
      <c r="V36" s="17"/>
    </row>
    <row r="37" spans="1:22">
      <c r="A37" s="10">
        <f t="shared" si="14"/>
        <v>8</v>
      </c>
      <c r="B37">
        <f>H2</f>
        <v>0</v>
      </c>
      <c r="C37" s="2"/>
      <c r="D37" s="10"/>
      <c r="E37" s="2"/>
      <c r="F37" s="2" t="e">
        <f t="shared" si="13"/>
        <v>#DIV/0!</v>
      </c>
      <c r="R37" s="17"/>
      <c r="S37" s="17"/>
      <c r="T37" s="17"/>
      <c r="U37" s="17"/>
      <c r="V37" s="17"/>
    </row>
    <row r="38" spans="1:22">
      <c r="A38" s="10">
        <f>A37+1</f>
        <v>9</v>
      </c>
      <c r="B38">
        <f>H2</f>
        <v>0</v>
      </c>
      <c r="C38" s="2"/>
      <c r="D38" s="10"/>
      <c r="E38" s="2"/>
      <c r="F38" s="2" t="e">
        <f>20*LOG(ABS(C38/B38),10)</f>
        <v>#DIV/0!</v>
      </c>
      <c r="R38" s="17"/>
      <c r="S38" s="17"/>
      <c r="T38" s="17"/>
      <c r="U38" s="17"/>
      <c r="V38" s="17"/>
    </row>
    <row r="39" spans="1:22">
      <c r="A39" s="10">
        <f>A38+1</f>
        <v>10</v>
      </c>
      <c r="B39">
        <f>H2</f>
        <v>0</v>
      </c>
      <c r="C39" s="2"/>
      <c r="D39" s="10"/>
      <c r="E39" s="2"/>
      <c r="F39" s="2" t="e">
        <f t="shared" ref="F39:F47" si="15">20*LOG(ABS(C39/B39),10)</f>
        <v>#DIV/0!</v>
      </c>
      <c r="R39" s="17"/>
      <c r="S39" s="17"/>
      <c r="T39" s="17"/>
      <c r="U39" s="17"/>
      <c r="V39" s="17"/>
    </row>
    <row r="40" spans="1:22">
      <c r="A40" s="10">
        <f>A39+5</f>
        <v>15</v>
      </c>
      <c r="B40">
        <f>H2</f>
        <v>0</v>
      </c>
      <c r="C40" s="2"/>
      <c r="D40" s="10"/>
      <c r="E40" s="2"/>
      <c r="F40" s="2" t="e">
        <f t="shared" si="15"/>
        <v>#DIV/0!</v>
      </c>
      <c r="G40" t="s">
        <v>53</v>
      </c>
      <c r="R40" s="17"/>
      <c r="S40" s="17"/>
      <c r="T40" s="17"/>
      <c r="U40" s="17"/>
      <c r="V40" s="17"/>
    </row>
    <row r="41" spans="1:22">
      <c r="A41" s="10">
        <f t="shared" ref="A41:A46" si="16">A40+5</f>
        <v>20</v>
      </c>
      <c r="B41">
        <f>H2</f>
        <v>0</v>
      </c>
      <c r="C41" s="2"/>
      <c r="D41" s="10"/>
      <c r="E41" s="2"/>
      <c r="F41" s="2" t="e">
        <f t="shared" si="15"/>
        <v>#DIV/0!</v>
      </c>
    </row>
    <row r="42" spans="1:22">
      <c r="A42" s="10">
        <f t="shared" si="16"/>
        <v>25</v>
      </c>
      <c r="B42">
        <f>H2</f>
        <v>0</v>
      </c>
      <c r="C42" s="2"/>
      <c r="D42" s="10"/>
      <c r="E42" s="2"/>
      <c r="F42" s="2" t="e">
        <f t="shared" si="15"/>
        <v>#DIV/0!</v>
      </c>
    </row>
    <row r="43" spans="1:22">
      <c r="A43" s="10">
        <f t="shared" si="16"/>
        <v>30</v>
      </c>
      <c r="B43">
        <f>H2</f>
        <v>0</v>
      </c>
      <c r="C43" s="2"/>
      <c r="D43" s="10"/>
      <c r="E43" s="2"/>
      <c r="F43" s="2" t="e">
        <f t="shared" si="15"/>
        <v>#DIV/0!</v>
      </c>
    </row>
    <row r="44" spans="1:22">
      <c r="A44" s="10">
        <f t="shared" si="16"/>
        <v>35</v>
      </c>
      <c r="B44">
        <f>H2</f>
        <v>0</v>
      </c>
      <c r="C44" s="2"/>
      <c r="D44" s="10"/>
      <c r="E44" s="2"/>
      <c r="F44" s="2" t="e">
        <f t="shared" si="15"/>
        <v>#DIV/0!</v>
      </c>
    </row>
    <row r="45" spans="1:22">
      <c r="A45" s="10">
        <f t="shared" si="16"/>
        <v>40</v>
      </c>
      <c r="B45">
        <f>H2</f>
        <v>0</v>
      </c>
      <c r="C45" s="2"/>
      <c r="D45" s="10"/>
      <c r="E45" s="2"/>
      <c r="F45" s="2" t="e">
        <f t="shared" si="15"/>
        <v>#DIV/0!</v>
      </c>
      <c r="J45" t="s">
        <v>94</v>
      </c>
    </row>
    <row r="46" spans="1:22">
      <c r="A46" s="10">
        <f t="shared" si="16"/>
        <v>45</v>
      </c>
      <c r="B46">
        <f>H2</f>
        <v>0</v>
      </c>
      <c r="C46" s="2"/>
      <c r="D46" s="10"/>
      <c r="E46" s="2"/>
      <c r="F46" s="2" t="e">
        <f t="shared" si="15"/>
        <v>#DIV/0!</v>
      </c>
    </row>
    <row r="47" spans="1:22">
      <c r="A47" s="11">
        <f>A46+5</f>
        <v>50</v>
      </c>
      <c r="B47" s="4">
        <f>H2</f>
        <v>0</v>
      </c>
      <c r="C47" s="5"/>
      <c r="D47" s="11"/>
      <c r="E47" s="5"/>
      <c r="F47" s="5" t="e">
        <f t="shared" si="15"/>
        <v>#DIV/0!</v>
      </c>
    </row>
    <row r="52" spans="1:6">
      <c r="A52" s="12" t="s">
        <v>72</v>
      </c>
      <c r="B52" s="12"/>
    </row>
    <row r="53" spans="1:6">
      <c r="B53" t="s">
        <v>3</v>
      </c>
      <c r="D53" t="s">
        <v>4</v>
      </c>
      <c r="F53" t="s">
        <v>5</v>
      </c>
    </row>
    <row r="54" spans="1:6">
      <c r="A54" s="9" t="s">
        <v>11</v>
      </c>
      <c r="B54" s="7" t="s">
        <v>12</v>
      </c>
      <c r="C54" s="8" t="s">
        <v>13</v>
      </c>
      <c r="D54" s="9" t="s">
        <v>14</v>
      </c>
      <c r="E54" s="8" t="s">
        <v>15</v>
      </c>
      <c r="F54" s="8" t="s">
        <v>16</v>
      </c>
    </row>
    <row r="55" spans="1:6">
      <c r="A55" s="10">
        <v>1</v>
      </c>
      <c r="B55">
        <f>H2</f>
        <v>0</v>
      </c>
      <c r="C55" s="2"/>
      <c r="D55" s="10"/>
      <c r="E55" s="2"/>
      <c r="F55" s="2" t="e">
        <f>20*LOG(ABS(C55/B55),10)</f>
        <v>#DIV/0!</v>
      </c>
    </row>
    <row r="56" spans="1:6">
      <c r="A56" s="10">
        <f>A55+1</f>
        <v>2</v>
      </c>
      <c r="B56">
        <f>H2</f>
        <v>0</v>
      </c>
      <c r="C56" s="2"/>
      <c r="D56" s="10"/>
      <c r="E56" s="2"/>
      <c r="F56" s="2" t="e">
        <f t="shared" ref="F56:F62" si="17">20*LOG(ABS(C56/B56),10)</f>
        <v>#DIV/0!</v>
      </c>
    </row>
    <row r="57" spans="1:6">
      <c r="A57" s="10">
        <f t="shared" ref="A57:A62" si="18">A56+1</f>
        <v>3</v>
      </c>
      <c r="B57">
        <f>H2</f>
        <v>0</v>
      </c>
      <c r="C57" s="2"/>
      <c r="D57" s="10"/>
      <c r="E57" s="2"/>
      <c r="F57" s="2" t="e">
        <f t="shared" si="17"/>
        <v>#DIV/0!</v>
      </c>
    </row>
    <row r="58" spans="1:6">
      <c r="A58" s="10">
        <f t="shared" si="18"/>
        <v>4</v>
      </c>
      <c r="B58">
        <f>H2</f>
        <v>0</v>
      </c>
      <c r="C58" s="2"/>
      <c r="D58" s="10"/>
      <c r="E58" s="2"/>
      <c r="F58" s="2" t="e">
        <f t="shared" si="17"/>
        <v>#DIV/0!</v>
      </c>
    </row>
    <row r="59" spans="1:6">
      <c r="A59" s="10">
        <f t="shared" si="18"/>
        <v>5</v>
      </c>
      <c r="B59">
        <f>H2</f>
        <v>0</v>
      </c>
      <c r="C59" s="2"/>
      <c r="D59" s="10"/>
      <c r="E59" s="2"/>
      <c r="F59" s="2" t="e">
        <f t="shared" si="17"/>
        <v>#DIV/0!</v>
      </c>
    </row>
    <row r="60" spans="1:6">
      <c r="A60" s="10">
        <f t="shared" si="18"/>
        <v>6</v>
      </c>
      <c r="B60">
        <f>H2</f>
        <v>0</v>
      </c>
      <c r="C60" s="2"/>
      <c r="D60" s="10"/>
      <c r="E60" s="2"/>
      <c r="F60" s="2" t="e">
        <f t="shared" si="17"/>
        <v>#DIV/0!</v>
      </c>
    </row>
    <row r="61" spans="1:6">
      <c r="A61" s="10">
        <f t="shared" si="18"/>
        <v>7</v>
      </c>
      <c r="B61">
        <f>H2</f>
        <v>0</v>
      </c>
      <c r="C61" s="2"/>
      <c r="D61" s="10"/>
      <c r="E61" s="2"/>
      <c r="F61" s="2" t="e">
        <f t="shared" si="17"/>
        <v>#DIV/0!</v>
      </c>
    </row>
    <row r="62" spans="1:6">
      <c r="A62" s="10">
        <f t="shared" si="18"/>
        <v>8</v>
      </c>
      <c r="B62">
        <f>H2</f>
        <v>0</v>
      </c>
      <c r="C62" s="2"/>
      <c r="D62" s="10"/>
      <c r="E62" s="2"/>
      <c r="F62" s="2" t="e">
        <f t="shared" si="17"/>
        <v>#DIV/0!</v>
      </c>
    </row>
    <row r="63" spans="1:6">
      <c r="A63" s="10">
        <f>A62+1</f>
        <v>9</v>
      </c>
      <c r="B63">
        <f>H2</f>
        <v>0</v>
      </c>
      <c r="C63" s="2"/>
      <c r="D63" s="10"/>
      <c r="E63" s="2"/>
      <c r="F63" s="2" t="e">
        <f>20*LOG(ABS(C63/B63),10)</f>
        <v>#DIV/0!</v>
      </c>
    </row>
    <row r="64" spans="1:6">
      <c r="A64" s="10">
        <f>A63+1</f>
        <v>10</v>
      </c>
      <c r="B64">
        <f>H2</f>
        <v>0</v>
      </c>
      <c r="C64" s="2"/>
      <c r="D64" s="10"/>
      <c r="E64" s="2"/>
      <c r="F64" s="2" t="e">
        <f t="shared" ref="F64:F72" si="19">20*LOG(ABS(C64/B64),10)</f>
        <v>#DIV/0!</v>
      </c>
    </row>
    <row r="65" spans="1:10">
      <c r="A65" s="10">
        <f>A64+5</f>
        <v>15</v>
      </c>
      <c r="B65">
        <f>H2</f>
        <v>0</v>
      </c>
      <c r="C65" s="2"/>
      <c r="D65" s="10"/>
      <c r="E65" s="2"/>
      <c r="F65" s="2" t="e">
        <f t="shared" si="19"/>
        <v>#DIV/0!</v>
      </c>
      <c r="G65" t="s">
        <v>53</v>
      </c>
    </row>
    <row r="66" spans="1:10">
      <c r="A66" s="10">
        <f t="shared" ref="A66:A71" si="20">A65+5</f>
        <v>20</v>
      </c>
      <c r="B66">
        <f>H2</f>
        <v>0</v>
      </c>
      <c r="C66" s="2"/>
      <c r="D66" s="10"/>
      <c r="E66" s="2"/>
      <c r="F66" s="2" t="e">
        <f t="shared" si="19"/>
        <v>#DIV/0!</v>
      </c>
      <c r="J66" t="s">
        <v>95</v>
      </c>
    </row>
    <row r="67" spans="1:10">
      <c r="A67" s="10">
        <f t="shared" si="20"/>
        <v>25</v>
      </c>
      <c r="B67">
        <f>H2</f>
        <v>0</v>
      </c>
      <c r="C67" s="2"/>
      <c r="D67" s="10"/>
      <c r="E67" s="2"/>
      <c r="F67" s="2" t="e">
        <f t="shared" si="19"/>
        <v>#DIV/0!</v>
      </c>
    </row>
    <row r="68" spans="1:10">
      <c r="A68" s="10">
        <f t="shared" si="20"/>
        <v>30</v>
      </c>
      <c r="B68">
        <f>H2</f>
        <v>0</v>
      </c>
      <c r="C68" s="2"/>
      <c r="D68" s="10"/>
      <c r="E68" s="2"/>
      <c r="F68" s="2" t="e">
        <f t="shared" si="19"/>
        <v>#DIV/0!</v>
      </c>
    </row>
    <row r="69" spans="1:10">
      <c r="A69" s="10">
        <f t="shared" si="20"/>
        <v>35</v>
      </c>
      <c r="B69">
        <f>H2</f>
        <v>0</v>
      </c>
      <c r="C69" s="2"/>
      <c r="D69" s="10"/>
      <c r="E69" s="2"/>
      <c r="F69" s="2" t="e">
        <f t="shared" si="19"/>
        <v>#DIV/0!</v>
      </c>
    </row>
    <row r="70" spans="1:10">
      <c r="A70" s="10">
        <f t="shared" si="20"/>
        <v>40</v>
      </c>
      <c r="B70">
        <f>H2</f>
        <v>0</v>
      </c>
      <c r="C70" s="2"/>
      <c r="D70" s="10"/>
      <c r="E70" s="2"/>
      <c r="F70" s="2" t="e">
        <f t="shared" si="19"/>
        <v>#DIV/0!</v>
      </c>
    </row>
    <row r="71" spans="1:10">
      <c r="A71" s="10">
        <f t="shared" si="20"/>
        <v>45</v>
      </c>
      <c r="B71">
        <f>H2</f>
        <v>0</v>
      </c>
      <c r="C71" s="2"/>
      <c r="D71" s="10"/>
      <c r="E71" s="2"/>
      <c r="F71" s="2" t="e">
        <f t="shared" si="19"/>
        <v>#DIV/0!</v>
      </c>
    </row>
    <row r="72" spans="1:10">
      <c r="A72" s="11">
        <f>A71+5</f>
        <v>50</v>
      </c>
      <c r="B72" s="4">
        <f>H2</f>
        <v>0</v>
      </c>
      <c r="C72" s="5"/>
      <c r="D72" s="11"/>
      <c r="E72" s="5"/>
      <c r="F72" s="5" t="e">
        <f t="shared" si="19"/>
        <v>#DIV/0!</v>
      </c>
    </row>
    <row r="78" spans="1:10">
      <c r="A78" s="12" t="s">
        <v>96</v>
      </c>
      <c r="B78" s="12"/>
    </row>
    <row r="79" spans="1:10">
      <c r="B79" t="s">
        <v>3</v>
      </c>
      <c r="D79" t="s">
        <v>4</v>
      </c>
      <c r="F79" t="s">
        <v>5</v>
      </c>
    </row>
    <row r="80" spans="1:10">
      <c r="A80" s="9" t="s">
        <v>11</v>
      </c>
      <c r="B80" s="7" t="s">
        <v>12</v>
      </c>
      <c r="C80" s="8" t="s">
        <v>13</v>
      </c>
      <c r="D80" s="9" t="s">
        <v>14</v>
      </c>
      <c r="E80" s="8" t="s">
        <v>15</v>
      </c>
      <c r="F80" s="8" t="s">
        <v>16</v>
      </c>
    </row>
    <row r="81" spans="1:7">
      <c r="A81" s="10">
        <v>1</v>
      </c>
      <c r="B81">
        <f>H2</f>
        <v>0</v>
      </c>
      <c r="C81" s="2"/>
      <c r="D81" s="10"/>
      <c r="E81" s="2"/>
      <c r="F81" s="2" t="e">
        <f>20*LOG(ABS(C81/B81),10)</f>
        <v>#DIV/0!</v>
      </c>
    </row>
    <row r="82" spans="1:7">
      <c r="A82" s="10">
        <f>A81+1</f>
        <v>2</v>
      </c>
      <c r="B82">
        <f>H2</f>
        <v>0</v>
      </c>
      <c r="C82" s="2"/>
      <c r="D82" s="10"/>
      <c r="E82" s="2"/>
      <c r="F82" s="2" t="e">
        <f t="shared" ref="F82:F88" si="21">20*LOG(ABS(C82/B82),10)</f>
        <v>#DIV/0!</v>
      </c>
    </row>
    <row r="83" spans="1:7">
      <c r="A83" s="10">
        <f t="shared" ref="A83:A88" si="22">A82+1</f>
        <v>3</v>
      </c>
      <c r="B83">
        <f>H2</f>
        <v>0</v>
      </c>
      <c r="C83" s="2"/>
      <c r="D83" s="10"/>
      <c r="E83" s="2"/>
      <c r="F83" s="2" t="e">
        <f t="shared" si="21"/>
        <v>#DIV/0!</v>
      </c>
    </row>
    <row r="84" spans="1:7">
      <c r="A84" s="10">
        <f t="shared" si="22"/>
        <v>4</v>
      </c>
      <c r="B84">
        <f>H2</f>
        <v>0</v>
      </c>
      <c r="C84" s="2"/>
      <c r="D84" s="10"/>
      <c r="E84" s="2"/>
      <c r="F84" s="2" t="e">
        <f t="shared" si="21"/>
        <v>#DIV/0!</v>
      </c>
    </row>
    <row r="85" spans="1:7">
      <c r="A85" s="10">
        <f t="shared" si="22"/>
        <v>5</v>
      </c>
      <c r="B85">
        <f>H2</f>
        <v>0</v>
      </c>
      <c r="C85" s="2"/>
      <c r="D85" s="10"/>
      <c r="E85" s="2"/>
      <c r="F85" s="2" t="e">
        <f t="shared" si="21"/>
        <v>#DIV/0!</v>
      </c>
    </row>
    <row r="86" spans="1:7">
      <c r="A86" s="10">
        <f t="shared" si="22"/>
        <v>6</v>
      </c>
      <c r="B86">
        <f>H2</f>
        <v>0</v>
      </c>
      <c r="C86" s="2"/>
      <c r="D86" s="10"/>
      <c r="E86" s="2"/>
      <c r="F86" s="2" t="e">
        <f t="shared" si="21"/>
        <v>#DIV/0!</v>
      </c>
    </row>
    <row r="87" spans="1:7">
      <c r="A87" s="10">
        <f t="shared" si="22"/>
        <v>7</v>
      </c>
      <c r="B87">
        <f>H2</f>
        <v>0</v>
      </c>
      <c r="C87" s="2"/>
      <c r="D87" s="10"/>
      <c r="E87" s="2"/>
      <c r="F87" s="2" t="e">
        <f t="shared" si="21"/>
        <v>#DIV/0!</v>
      </c>
    </row>
    <row r="88" spans="1:7">
      <c r="A88" s="10">
        <f t="shared" si="22"/>
        <v>8</v>
      </c>
      <c r="B88">
        <f>H2</f>
        <v>0</v>
      </c>
      <c r="C88" s="2"/>
      <c r="D88" s="10"/>
      <c r="E88" s="2"/>
      <c r="F88" s="2" t="e">
        <f t="shared" si="21"/>
        <v>#DIV/0!</v>
      </c>
    </row>
    <row r="89" spans="1:7">
      <c r="A89" s="10">
        <f>A88+1</f>
        <v>9</v>
      </c>
      <c r="B89">
        <f>H2</f>
        <v>0</v>
      </c>
      <c r="C89" s="2"/>
      <c r="D89" s="10"/>
      <c r="E89" s="2"/>
      <c r="F89" s="2" t="e">
        <f>20*LOG(ABS(C89/B89),10)</f>
        <v>#DIV/0!</v>
      </c>
    </row>
    <row r="90" spans="1:7">
      <c r="A90" s="10">
        <f>A89+1</f>
        <v>10</v>
      </c>
      <c r="B90">
        <f>H2</f>
        <v>0</v>
      </c>
      <c r="C90" s="2"/>
      <c r="D90" s="10"/>
      <c r="E90" s="2"/>
      <c r="F90" s="2" t="e">
        <f t="shared" ref="F90:F98" si="23">20*LOG(ABS(C90/B90),10)</f>
        <v>#DIV/0!</v>
      </c>
    </row>
    <row r="91" spans="1:7">
      <c r="A91" s="10">
        <f>A90+5</f>
        <v>15</v>
      </c>
      <c r="B91">
        <f>H2</f>
        <v>0</v>
      </c>
      <c r="C91" s="2"/>
      <c r="D91" s="10"/>
      <c r="E91" s="2"/>
      <c r="F91" s="2" t="e">
        <f t="shared" si="23"/>
        <v>#DIV/0!</v>
      </c>
      <c r="G91" t="s">
        <v>53</v>
      </c>
    </row>
    <row r="92" spans="1:7">
      <c r="A92" s="10">
        <f t="shared" ref="A92:A97" si="24">A91+5</f>
        <v>20</v>
      </c>
      <c r="B92">
        <f>H2</f>
        <v>0</v>
      </c>
      <c r="C92" s="2"/>
      <c r="D92" s="10"/>
      <c r="E92" s="2"/>
      <c r="F92" s="2" t="e">
        <f t="shared" si="23"/>
        <v>#DIV/0!</v>
      </c>
    </row>
    <row r="93" spans="1:7">
      <c r="A93" s="10">
        <f t="shared" si="24"/>
        <v>25</v>
      </c>
      <c r="B93">
        <f>H2</f>
        <v>0</v>
      </c>
      <c r="C93" s="2"/>
      <c r="D93" s="10"/>
      <c r="E93" s="2"/>
      <c r="F93" s="2" t="e">
        <f t="shared" si="23"/>
        <v>#DIV/0!</v>
      </c>
    </row>
    <row r="94" spans="1:7">
      <c r="A94" s="10">
        <f t="shared" si="24"/>
        <v>30</v>
      </c>
      <c r="B94">
        <f>H2</f>
        <v>0</v>
      </c>
      <c r="C94" s="2"/>
      <c r="D94" s="10"/>
      <c r="E94" s="2"/>
      <c r="F94" s="2" t="e">
        <f t="shared" si="23"/>
        <v>#DIV/0!</v>
      </c>
    </row>
    <row r="95" spans="1:7">
      <c r="A95" s="10">
        <f t="shared" si="24"/>
        <v>35</v>
      </c>
      <c r="B95">
        <f>H2</f>
        <v>0</v>
      </c>
      <c r="C95" s="2"/>
      <c r="D95" s="10"/>
      <c r="E95" s="2"/>
      <c r="F95" s="2" t="e">
        <f t="shared" si="23"/>
        <v>#DIV/0!</v>
      </c>
    </row>
    <row r="96" spans="1:7">
      <c r="A96" s="10">
        <f t="shared" si="24"/>
        <v>40</v>
      </c>
      <c r="B96">
        <f>H2</f>
        <v>0</v>
      </c>
      <c r="C96" s="2"/>
      <c r="D96" s="10"/>
      <c r="E96" s="2"/>
      <c r="F96" s="2" t="e">
        <f t="shared" si="23"/>
        <v>#DIV/0!</v>
      </c>
    </row>
    <row r="97" spans="1:6">
      <c r="A97" s="10">
        <f t="shared" si="24"/>
        <v>45</v>
      </c>
      <c r="B97">
        <f>H2</f>
        <v>0</v>
      </c>
      <c r="C97" s="2"/>
      <c r="D97" s="10"/>
      <c r="E97" s="2"/>
      <c r="F97" s="2" t="e">
        <f t="shared" si="23"/>
        <v>#DIV/0!</v>
      </c>
    </row>
    <row r="98" spans="1:6">
      <c r="A98" s="11">
        <f>A97+5</f>
        <v>50</v>
      </c>
      <c r="B98" s="4">
        <f>H2</f>
        <v>0</v>
      </c>
      <c r="C98" s="5"/>
      <c r="D98" s="11"/>
      <c r="E98" s="5"/>
      <c r="F98" s="5" t="e">
        <f t="shared" si="23"/>
        <v>#DIV/0!</v>
      </c>
    </row>
    <row r="104" spans="1:6">
      <c r="A104" s="12" t="s">
        <v>97</v>
      </c>
      <c r="B104" s="12"/>
    </row>
    <row r="105" spans="1:6">
      <c r="B105" t="s">
        <v>3</v>
      </c>
      <c r="D105" t="s">
        <v>4</v>
      </c>
      <c r="F105" t="s">
        <v>5</v>
      </c>
    </row>
    <row r="106" spans="1:6">
      <c r="A106" s="6" t="s">
        <v>11</v>
      </c>
      <c r="B106" s="6" t="s">
        <v>12</v>
      </c>
      <c r="C106" s="8" t="s">
        <v>13</v>
      </c>
      <c r="D106" s="9" t="s">
        <v>14</v>
      </c>
      <c r="E106" s="8" t="s">
        <v>15</v>
      </c>
      <c r="F106" s="8" t="s">
        <v>16</v>
      </c>
    </row>
    <row r="107" spans="1:6">
      <c r="A107">
        <v>12</v>
      </c>
      <c r="B107" s="1">
        <f>H2</f>
        <v>0</v>
      </c>
      <c r="C107" s="2"/>
      <c r="D107" s="10"/>
      <c r="F107" s="2" t="e">
        <f>20*LOG(ABS(C107/B107),10)</f>
        <v>#DIV/0!</v>
      </c>
    </row>
    <row r="108" spans="1:6">
      <c r="A108">
        <f>A107+1</f>
        <v>13</v>
      </c>
      <c r="B108" s="1">
        <f>H2</f>
        <v>0</v>
      </c>
      <c r="C108" s="2"/>
      <c r="D108" s="10"/>
      <c r="F108" s="2" t="e">
        <f t="shared" ref="F108:F134" si="25">20*LOG(ABS(C108/B108),10)</f>
        <v>#DIV/0!</v>
      </c>
    </row>
    <row r="109" spans="1:6">
      <c r="A109">
        <f t="shared" ref="A109:A135" si="26">A108+1</f>
        <v>14</v>
      </c>
      <c r="B109" s="1">
        <f>H2</f>
        <v>0</v>
      </c>
      <c r="C109" s="2"/>
      <c r="D109" s="10"/>
      <c r="F109" s="2" t="e">
        <f t="shared" si="25"/>
        <v>#DIV/0!</v>
      </c>
    </row>
    <row r="110" spans="1:6">
      <c r="A110">
        <f t="shared" si="26"/>
        <v>15</v>
      </c>
      <c r="B110" s="1">
        <f>H2</f>
        <v>0</v>
      </c>
      <c r="C110" s="2"/>
      <c r="D110" s="10"/>
      <c r="F110" s="2" t="e">
        <f t="shared" si="25"/>
        <v>#DIV/0!</v>
      </c>
    </row>
    <row r="111" spans="1:6">
      <c r="A111">
        <f t="shared" si="26"/>
        <v>16</v>
      </c>
      <c r="B111" s="1">
        <f>H2</f>
        <v>0</v>
      </c>
      <c r="C111" s="2"/>
      <c r="D111" s="10"/>
      <c r="F111" s="2" t="e">
        <f t="shared" si="25"/>
        <v>#DIV/0!</v>
      </c>
    </row>
    <row r="112" spans="1:6">
      <c r="A112">
        <f t="shared" si="26"/>
        <v>17</v>
      </c>
      <c r="B112" s="1">
        <f>H2</f>
        <v>0</v>
      </c>
      <c r="C112" s="2"/>
      <c r="D112" s="10"/>
      <c r="F112" s="2" t="e">
        <f t="shared" si="25"/>
        <v>#DIV/0!</v>
      </c>
    </row>
    <row r="113" spans="1:6">
      <c r="A113">
        <f t="shared" si="26"/>
        <v>18</v>
      </c>
      <c r="B113" s="1">
        <f>H2</f>
        <v>0</v>
      </c>
      <c r="C113" s="2"/>
      <c r="D113" s="10"/>
      <c r="F113" s="2" t="e">
        <f t="shared" si="25"/>
        <v>#DIV/0!</v>
      </c>
    </row>
    <row r="114" spans="1:6">
      <c r="A114">
        <f t="shared" si="26"/>
        <v>19</v>
      </c>
      <c r="B114" s="1">
        <f>H2</f>
        <v>0</v>
      </c>
      <c r="C114" s="2"/>
      <c r="D114" s="10"/>
      <c r="F114" s="2" t="e">
        <f t="shared" si="25"/>
        <v>#DIV/0!</v>
      </c>
    </row>
    <row r="115" spans="1:6">
      <c r="A115">
        <f t="shared" si="26"/>
        <v>20</v>
      </c>
      <c r="B115" s="1">
        <f>H2</f>
        <v>0</v>
      </c>
      <c r="C115" s="2"/>
      <c r="D115" s="10"/>
      <c r="F115" s="2" t="e">
        <f t="shared" si="25"/>
        <v>#DIV/0!</v>
      </c>
    </row>
    <row r="116" spans="1:6">
      <c r="A116">
        <f t="shared" si="26"/>
        <v>21</v>
      </c>
      <c r="B116" s="1">
        <f>H2</f>
        <v>0</v>
      </c>
      <c r="C116" s="2"/>
      <c r="D116" s="10"/>
      <c r="F116" s="2" t="e">
        <f t="shared" si="25"/>
        <v>#DIV/0!</v>
      </c>
    </row>
    <row r="117" spans="1:6">
      <c r="A117">
        <f t="shared" si="26"/>
        <v>22</v>
      </c>
      <c r="B117" s="1">
        <f>H2</f>
        <v>0</v>
      </c>
      <c r="C117" s="2"/>
      <c r="D117" s="10"/>
      <c r="F117" s="2" t="e">
        <f t="shared" si="25"/>
        <v>#DIV/0!</v>
      </c>
    </row>
    <row r="118" spans="1:6">
      <c r="A118">
        <f t="shared" si="26"/>
        <v>23</v>
      </c>
      <c r="B118" s="1">
        <f>H2</f>
        <v>0</v>
      </c>
      <c r="C118" s="2"/>
      <c r="D118" s="10"/>
      <c r="F118" s="2" t="e">
        <f t="shared" si="25"/>
        <v>#DIV/0!</v>
      </c>
    </row>
    <row r="119" spans="1:6">
      <c r="A119">
        <f t="shared" si="26"/>
        <v>24</v>
      </c>
      <c r="B119" s="1">
        <f>H2</f>
        <v>0</v>
      </c>
      <c r="C119" s="2"/>
      <c r="D119" s="10"/>
      <c r="F119" s="2" t="e">
        <f t="shared" si="25"/>
        <v>#DIV/0!</v>
      </c>
    </row>
    <row r="120" spans="1:6">
      <c r="A120">
        <f t="shared" si="26"/>
        <v>25</v>
      </c>
      <c r="B120" s="1">
        <f>H2</f>
        <v>0</v>
      </c>
      <c r="C120" s="2"/>
      <c r="D120" s="10"/>
      <c r="F120" s="2" t="e">
        <f t="shared" si="25"/>
        <v>#DIV/0!</v>
      </c>
    </row>
    <row r="121" spans="1:6">
      <c r="A121">
        <f t="shared" si="26"/>
        <v>26</v>
      </c>
      <c r="B121" s="1">
        <f>H2</f>
        <v>0</v>
      </c>
      <c r="C121" s="2"/>
      <c r="D121" s="10"/>
      <c r="F121" s="2" t="e">
        <f t="shared" si="25"/>
        <v>#DIV/0!</v>
      </c>
    </row>
    <row r="122" spans="1:6">
      <c r="A122">
        <f t="shared" si="26"/>
        <v>27</v>
      </c>
      <c r="B122" s="1">
        <f>H2</f>
        <v>0</v>
      </c>
      <c r="C122" s="2"/>
      <c r="D122" s="10"/>
      <c r="F122" s="2" t="e">
        <f t="shared" si="25"/>
        <v>#DIV/0!</v>
      </c>
    </row>
    <row r="123" spans="1:6">
      <c r="A123">
        <f t="shared" si="26"/>
        <v>28</v>
      </c>
      <c r="B123" s="1">
        <f>H2</f>
        <v>0</v>
      </c>
      <c r="C123" s="2"/>
      <c r="D123" s="10"/>
      <c r="F123" s="2" t="e">
        <f t="shared" si="25"/>
        <v>#DIV/0!</v>
      </c>
    </row>
    <row r="124" spans="1:6">
      <c r="A124">
        <f>A123+1</f>
        <v>29</v>
      </c>
      <c r="B124" s="1">
        <f>H2</f>
        <v>0</v>
      </c>
      <c r="C124" s="2"/>
      <c r="D124" s="10"/>
      <c r="F124" s="2" t="e">
        <f t="shared" si="25"/>
        <v>#DIV/0!</v>
      </c>
    </row>
    <row r="125" spans="1:6">
      <c r="A125">
        <f t="shared" si="26"/>
        <v>30</v>
      </c>
      <c r="B125" s="1">
        <f>H2</f>
        <v>0</v>
      </c>
      <c r="C125" s="2"/>
      <c r="D125" s="10"/>
      <c r="F125" s="2" t="e">
        <f t="shared" si="25"/>
        <v>#DIV/0!</v>
      </c>
    </row>
    <row r="126" spans="1:6">
      <c r="A126">
        <f t="shared" si="26"/>
        <v>31</v>
      </c>
      <c r="B126" s="1">
        <f>H2</f>
        <v>0</v>
      </c>
      <c r="C126" s="2"/>
      <c r="D126" s="10"/>
      <c r="F126" s="2" t="e">
        <f t="shared" si="25"/>
        <v>#DIV/0!</v>
      </c>
    </row>
    <row r="127" spans="1:6">
      <c r="A127">
        <f t="shared" si="26"/>
        <v>32</v>
      </c>
      <c r="B127" s="1">
        <f>H2</f>
        <v>0</v>
      </c>
      <c r="C127" s="2"/>
      <c r="D127" s="10"/>
      <c r="F127" s="2" t="e">
        <f t="shared" si="25"/>
        <v>#DIV/0!</v>
      </c>
    </row>
    <row r="128" spans="1:6">
      <c r="A128">
        <f t="shared" si="26"/>
        <v>33</v>
      </c>
      <c r="B128" s="1">
        <f>H2</f>
        <v>0</v>
      </c>
      <c r="C128" s="2"/>
      <c r="D128" s="10"/>
      <c r="F128" s="2" t="e">
        <f t="shared" si="25"/>
        <v>#DIV/0!</v>
      </c>
    </row>
    <row r="129" spans="1:6">
      <c r="A129">
        <f t="shared" si="26"/>
        <v>34</v>
      </c>
      <c r="B129" s="1">
        <f>H2</f>
        <v>0</v>
      </c>
      <c r="C129" s="2"/>
      <c r="D129" s="10"/>
      <c r="F129" s="2" t="e">
        <f t="shared" si="25"/>
        <v>#DIV/0!</v>
      </c>
    </row>
    <row r="130" spans="1:6">
      <c r="A130">
        <f t="shared" si="26"/>
        <v>35</v>
      </c>
      <c r="B130" s="1">
        <f>H2</f>
        <v>0</v>
      </c>
      <c r="C130" s="2"/>
      <c r="D130" s="10"/>
      <c r="F130" s="2" t="e">
        <f t="shared" si="25"/>
        <v>#DIV/0!</v>
      </c>
    </row>
    <row r="131" spans="1:6">
      <c r="A131">
        <f t="shared" si="26"/>
        <v>36</v>
      </c>
      <c r="B131" s="1">
        <f>H2</f>
        <v>0</v>
      </c>
      <c r="C131" s="2"/>
      <c r="D131" s="10"/>
      <c r="F131" s="2" t="e">
        <f t="shared" si="25"/>
        <v>#DIV/0!</v>
      </c>
    </row>
    <row r="132" spans="1:6">
      <c r="A132">
        <f t="shared" si="26"/>
        <v>37</v>
      </c>
      <c r="B132" s="1">
        <f>H2</f>
        <v>0</v>
      </c>
      <c r="C132" s="2"/>
      <c r="D132" s="10"/>
      <c r="F132" s="2" t="e">
        <f t="shared" si="25"/>
        <v>#DIV/0!</v>
      </c>
    </row>
    <row r="133" spans="1:6">
      <c r="A133">
        <f t="shared" si="26"/>
        <v>38</v>
      </c>
      <c r="B133" s="1">
        <f>H2</f>
        <v>0</v>
      </c>
      <c r="C133" s="2"/>
      <c r="D133" s="10"/>
      <c r="F133" s="2" t="e">
        <f t="shared" si="25"/>
        <v>#DIV/0!</v>
      </c>
    </row>
    <row r="134" spans="1:6">
      <c r="A134">
        <f t="shared" si="26"/>
        <v>39</v>
      </c>
      <c r="B134" s="1">
        <f>H2</f>
        <v>0</v>
      </c>
      <c r="C134" s="2"/>
      <c r="D134" s="10"/>
      <c r="F134" s="2" t="e">
        <f t="shared" si="25"/>
        <v>#DIV/0!</v>
      </c>
    </row>
    <row r="135" spans="1:6">
      <c r="A135" s="4">
        <f t="shared" si="26"/>
        <v>40</v>
      </c>
      <c r="B135" s="3">
        <f>H2</f>
        <v>0</v>
      </c>
      <c r="C135" s="5"/>
      <c r="D135" s="11"/>
      <c r="E135" s="4"/>
      <c r="F135" s="5" t="e">
        <f>20*LOG(ABS(C135/B135),10)</f>
        <v>#DIV/0!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630C-3AA9-454D-BCFF-E8ECDCE8FD78}">
  <dimension ref="A1:U15"/>
  <sheetViews>
    <sheetView topLeftCell="R1" workbookViewId="0">
      <selection activeCell="X3" sqref="X3"/>
    </sheetView>
  </sheetViews>
  <sheetFormatPr baseColWidth="10" defaultColWidth="8.7109375" defaultRowHeight="20"/>
  <cols>
    <col min="1" max="1" width="16.28515625" bestFit="1" customWidth="1"/>
    <col min="2" max="7" width="13.42578125" bestFit="1" customWidth="1"/>
    <col min="8" max="8" width="13" bestFit="1" customWidth="1"/>
    <col min="9" max="11" width="10.7109375" bestFit="1" customWidth="1"/>
    <col min="12" max="12" width="13.7109375" bestFit="1" customWidth="1"/>
    <col min="13" max="13" width="10.7109375" bestFit="1" customWidth="1"/>
    <col min="14" max="14" width="17.28515625" bestFit="1" customWidth="1"/>
    <col min="15" max="16" width="10.7109375" bestFit="1" customWidth="1"/>
    <col min="17" max="17" width="17.28515625" bestFit="1" customWidth="1"/>
    <col min="18" max="18" width="13.28515625" bestFit="1" customWidth="1"/>
    <col min="19" max="19" width="10.7109375" bestFit="1" customWidth="1"/>
    <col min="20" max="20" width="15" bestFit="1" customWidth="1"/>
    <col min="21" max="22" width="10.7109375" bestFit="1" customWidth="1"/>
    <col min="23" max="23" width="15.28515625" bestFit="1" customWidth="1"/>
  </cols>
  <sheetData>
    <row r="1" spans="1:21">
      <c r="A1" t="s">
        <v>76</v>
      </c>
      <c r="K1" t="s">
        <v>98</v>
      </c>
      <c r="N1" t="s">
        <v>78</v>
      </c>
      <c r="Q1" t="s">
        <v>99</v>
      </c>
      <c r="T1" t="s">
        <v>81</v>
      </c>
    </row>
    <row r="2" spans="1:21">
      <c r="A2" t="s">
        <v>82</v>
      </c>
      <c r="K2" t="s">
        <v>83</v>
      </c>
      <c r="L2" t="s">
        <v>84</v>
      </c>
      <c r="N2" t="s">
        <v>83</v>
      </c>
      <c r="O2" t="s">
        <v>84</v>
      </c>
      <c r="Q2" t="s">
        <v>83</v>
      </c>
      <c r="R2" t="s">
        <v>84</v>
      </c>
      <c r="T2" t="s">
        <v>83</v>
      </c>
      <c r="U2" t="s">
        <v>84</v>
      </c>
    </row>
    <row r="3" spans="1:21">
      <c r="A3" t="s">
        <v>87</v>
      </c>
    </row>
    <row r="5" spans="1:21">
      <c r="A5" t="s">
        <v>88</v>
      </c>
    </row>
    <row r="6" spans="1:21">
      <c r="A6" t="s">
        <v>82</v>
      </c>
    </row>
    <row r="7" spans="1:21">
      <c r="A7" t="s">
        <v>87</v>
      </c>
    </row>
    <row r="9" spans="1:21">
      <c r="A9" t="s">
        <v>89</v>
      </c>
    </row>
    <row r="10" spans="1:21">
      <c r="A10" t="s">
        <v>82</v>
      </c>
    </row>
    <row r="11" spans="1:21">
      <c r="A11" t="s">
        <v>87</v>
      </c>
    </row>
    <row r="13" spans="1:21">
      <c r="A13" t="s">
        <v>90</v>
      </c>
    </row>
    <row r="14" spans="1:21">
      <c r="A14" t="s">
        <v>82</v>
      </c>
    </row>
    <row r="15" spans="1:21">
      <c r="A15" t="s">
        <v>87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アナログフィルタ結果</vt:lpstr>
      <vt:lpstr>デジタルフィルタ結果</vt:lpstr>
      <vt:lpstr>アナログフィルタ(予備用)</vt:lpstr>
      <vt:lpstr>デジタルフィルタ(予備用)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2025-04-26T05:55:59Z</dcterms:created>
  <dcterms:modified xsi:type="dcterms:W3CDTF">2025-05-06T02:00:50Z</dcterms:modified>
  <cp:category/>
  <cp:contentStatus/>
</cp:coreProperties>
</file>