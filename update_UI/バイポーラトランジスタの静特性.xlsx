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nzooo/Desktop/サンプル/"/>
    </mc:Choice>
  </mc:AlternateContent>
  <xr:revisionPtr revIDLastSave="0" documentId="13_ncr:1_{139FDEB8-429A-A648-9C4C-7CC17B0D7B20}" xr6:coauthVersionLast="47" xr6:coauthVersionMax="47" xr10:uidLastSave="{00000000-0000-0000-0000-000000000000}"/>
  <bookViews>
    <workbookView xWindow="0" yWindow="680" windowWidth="23880" windowHeight="16680" activeTab="1" xr2:uid="{A807DA9E-078C-4B20-811F-6255385CE6B7}"/>
  </bookViews>
  <sheets>
    <sheet name="4.1 エミッタ接地 (a班)" sheetId="5" r:id="rId1"/>
    <sheet name="4.2 ベース接地 (b班)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2" i="6" l="1" a="1"/>
  <c r="D62" i="6" s="1"/>
  <c r="D43" i="6"/>
  <c r="C43" i="6"/>
  <c r="E71" i="5" a="1"/>
  <c r="E71" i="5" s="1"/>
  <c r="D71" i="6"/>
  <c r="H59" i="6"/>
  <c r="H60" i="6"/>
  <c r="H61" i="6"/>
  <c r="H62" i="6"/>
  <c r="H63" i="6"/>
  <c r="D70" i="6" s="1"/>
  <c r="H64" i="6"/>
  <c r="H65" i="6"/>
  <c r="H66" i="6"/>
  <c r="H67" i="6"/>
  <c r="H68" i="6"/>
  <c r="H69" i="6"/>
  <c r="H70" i="6"/>
  <c r="H71" i="6"/>
  <c r="H72" i="6"/>
  <c r="H73" i="6"/>
  <c r="H74" i="6"/>
  <c r="H75" i="6"/>
  <c r="H58" i="6"/>
  <c r="D69" i="6"/>
  <c r="D68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59" i="6"/>
  <c r="G60" i="6"/>
  <c r="G61" i="6"/>
  <c r="G62" i="6"/>
  <c r="G58" i="6"/>
  <c r="D67" i="6" s="1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67" i="5"/>
  <c r="D78" i="5" s="1"/>
  <c r="D76" i="5"/>
  <c r="D79" i="5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16" i="6"/>
  <c r="AE38" i="6"/>
  <c r="AC38" i="6"/>
  <c r="AA38" i="6"/>
  <c r="AE37" i="6"/>
  <c r="AC37" i="6"/>
  <c r="AA37" i="6"/>
  <c r="AE36" i="6"/>
  <c r="AC36" i="6"/>
  <c r="AA36" i="6"/>
  <c r="AE35" i="6"/>
  <c r="AC35" i="6"/>
  <c r="AA35" i="6"/>
  <c r="AE34" i="6"/>
  <c r="AC34" i="6"/>
  <c r="AA34" i="6"/>
  <c r="AE33" i="6"/>
  <c r="AC33" i="6"/>
  <c r="AA33" i="6"/>
  <c r="AE32" i="6"/>
  <c r="AC32" i="6"/>
  <c r="AA32" i="6"/>
  <c r="AE31" i="6"/>
  <c r="AC31" i="6"/>
  <c r="AA31" i="6"/>
  <c r="AE30" i="6"/>
  <c r="AC30" i="6"/>
  <c r="AA30" i="6"/>
  <c r="AE29" i="6"/>
  <c r="AC29" i="6"/>
  <c r="AA29" i="6"/>
  <c r="AE28" i="6"/>
  <c r="AC28" i="6"/>
  <c r="AA28" i="6"/>
  <c r="AE27" i="6"/>
  <c r="AC27" i="6"/>
  <c r="AA27" i="6"/>
  <c r="AE26" i="6"/>
  <c r="AC26" i="6"/>
  <c r="AA26" i="6"/>
  <c r="AE25" i="6"/>
  <c r="AC25" i="6"/>
  <c r="AA25" i="6"/>
  <c r="AE24" i="6"/>
  <c r="AC24" i="6"/>
  <c r="AA24" i="6"/>
  <c r="AE23" i="6"/>
  <c r="AC23" i="6"/>
  <c r="AA23" i="6"/>
  <c r="AE22" i="6"/>
  <c r="AC22" i="6"/>
  <c r="AA22" i="6"/>
  <c r="AE21" i="6"/>
  <c r="AC21" i="6"/>
  <c r="AA21" i="6"/>
  <c r="AE20" i="6"/>
  <c r="AC20" i="6"/>
  <c r="AA20" i="6"/>
  <c r="AE18" i="6"/>
  <c r="AC18" i="6"/>
  <c r="AA18" i="6"/>
  <c r="AJ16" i="6"/>
  <c r="AI16" i="6"/>
  <c r="AH16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16" i="6"/>
  <c r="C34" i="6"/>
  <c r="L14" i="6"/>
  <c r="K14" i="6"/>
  <c r="J14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16" i="6"/>
  <c r="D60" i="6"/>
  <c r="C60" i="6"/>
  <c r="D59" i="6"/>
  <c r="C59" i="6"/>
  <c r="D58" i="6"/>
  <c r="C58" i="6"/>
  <c r="D57" i="6"/>
  <c r="C57" i="6"/>
  <c r="D56" i="6"/>
  <c r="C56" i="6"/>
  <c r="D55" i="6"/>
  <c r="C55" i="6"/>
  <c r="D54" i="6"/>
  <c r="C54" i="6"/>
  <c r="D53" i="6"/>
  <c r="C53" i="6"/>
  <c r="D52" i="6"/>
  <c r="C52" i="6"/>
  <c r="D51" i="6"/>
  <c r="C51" i="6"/>
  <c r="D50" i="6"/>
  <c r="C50" i="6"/>
  <c r="D49" i="6"/>
  <c r="C49" i="6"/>
  <c r="D48" i="6"/>
  <c r="C48" i="6"/>
  <c r="D47" i="6"/>
  <c r="C47" i="6"/>
  <c r="D46" i="6"/>
  <c r="C46" i="6"/>
  <c r="D45" i="6"/>
  <c r="C45" i="6"/>
  <c r="D44" i="6"/>
  <c r="C44" i="6"/>
  <c r="D69" i="5"/>
  <c r="E69" i="5" s="1"/>
  <c r="H82" i="5" s="1"/>
  <c r="D68" i="5"/>
  <c r="E68" i="5" s="1"/>
  <c r="H81" i="5" s="1"/>
  <c r="D67" i="5"/>
  <c r="E67" i="5" s="1"/>
  <c r="H80" i="5" s="1"/>
  <c r="D66" i="5"/>
  <c r="E66" i="5" s="1"/>
  <c r="H79" i="5" s="1"/>
  <c r="D65" i="5"/>
  <c r="E65" i="5" s="1"/>
  <c r="H78" i="5" s="1"/>
  <c r="D64" i="5"/>
  <c r="E64" i="5" s="1"/>
  <c r="H77" i="5" s="1"/>
  <c r="D63" i="5"/>
  <c r="E63" i="5" s="1"/>
  <c r="H76" i="5" s="1"/>
  <c r="D62" i="5"/>
  <c r="E62" i="5" s="1"/>
  <c r="H75" i="5" s="1"/>
  <c r="D61" i="5"/>
  <c r="E61" i="5" s="1"/>
  <c r="H74" i="5" s="1"/>
  <c r="D60" i="5"/>
  <c r="E60" i="5" s="1"/>
  <c r="H73" i="5" s="1"/>
  <c r="D59" i="5"/>
  <c r="E59" i="5" s="1"/>
  <c r="H72" i="5" s="1"/>
  <c r="D58" i="5"/>
  <c r="E58" i="5" s="1"/>
  <c r="H71" i="5" s="1"/>
  <c r="D57" i="5"/>
  <c r="E57" i="5" s="1"/>
  <c r="H70" i="5" s="1"/>
  <c r="D56" i="5"/>
  <c r="E56" i="5" s="1"/>
  <c r="H69" i="5" s="1"/>
  <c r="D55" i="5"/>
  <c r="E55" i="5" s="1"/>
  <c r="H68" i="5" s="1"/>
  <c r="D54" i="5"/>
  <c r="E54" i="5" s="1"/>
  <c r="H67" i="5" l="1"/>
  <c r="D75" i="5" s="1"/>
  <c r="D77" i="5"/>
  <c r="D74" i="6"/>
  <c r="D73" i="6"/>
  <c r="D82" i="5"/>
  <c r="D81" i="5"/>
  <c r="D63" i="6"/>
  <c r="E7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<sst xmlns="http://schemas.openxmlformats.org/spreadsheetml/2006/main" count="123" uniqueCount="66">
  <si>
    <t>4.1.1</t>
    <phoneticPr fontId="1"/>
  </si>
  <si>
    <t>Ib=0uA</t>
    <phoneticPr fontId="1"/>
  </si>
  <si>
    <t>Ib=20uA</t>
    <phoneticPr fontId="1"/>
  </si>
  <si>
    <t>Ib=40uA</t>
    <phoneticPr fontId="1"/>
  </si>
  <si>
    <t>Ib=60uA</t>
    <phoneticPr fontId="1"/>
  </si>
  <si>
    <t>目標Vce[V]</t>
    <rPh sb="0" eb="2">
      <t>モクヒョウ</t>
    </rPh>
    <phoneticPr fontId="1"/>
  </si>
  <si>
    <t>Vce[V]</t>
    <phoneticPr fontId="1"/>
  </si>
  <si>
    <t>Ic[mA]</t>
    <phoneticPr fontId="1"/>
  </si>
  <si>
    <t>※Vceを読むのを忘れないように！！！</t>
  </si>
  <si>
    <t>4.1.2</t>
    <phoneticPr fontId="1"/>
  </si>
  <si>
    <t>Vce=0</t>
    <phoneticPr fontId="1"/>
  </si>
  <si>
    <t>Vce=2</t>
    <phoneticPr fontId="1"/>
  </si>
  <si>
    <t>Vce=4</t>
    <phoneticPr fontId="1"/>
  </si>
  <si>
    <t>目標Vbe[V]</t>
    <phoneticPr fontId="1"/>
  </si>
  <si>
    <t>Vbe[V]</t>
    <phoneticPr fontId="1"/>
  </si>
  <si>
    <t>Ib[mA]</t>
    <phoneticPr fontId="1"/>
  </si>
  <si>
    <t>Vbe[V]</t>
  </si>
  <si>
    <t>Ib[mA]</t>
  </si>
  <si>
    <t>↓</t>
    <phoneticPr fontId="1"/>
  </si>
  <si>
    <t>※Vbeは正確に合わせなくてよい</t>
    <rPh sb="5" eb="7">
      <t>セイカク</t>
    </rPh>
    <rPh sb="8" eb="9">
      <t>ア</t>
    </rPh>
    <phoneticPr fontId="1"/>
  </si>
  <si>
    <t>4.1.3</t>
    <phoneticPr fontId="1"/>
  </si>
  <si>
    <t>Ib[uA]</t>
    <phoneticPr fontId="1"/>
  </si>
  <si>
    <t>Ic[uA]</t>
    <phoneticPr fontId="1"/>
  </si>
  <si>
    <t>β=</t>
    <phoneticPr fontId="1"/>
  </si>
  <si>
    <t>α=β/(1+β)=</t>
    <phoneticPr fontId="1"/>
  </si>
  <si>
    <t>4.2.1</t>
    <phoneticPr fontId="1"/>
  </si>
  <si>
    <t>Ie~=0</t>
    <phoneticPr fontId="1"/>
  </si>
  <si>
    <t>Ie~=2</t>
    <phoneticPr fontId="1"/>
  </si>
  <si>
    <t>Ie~=4</t>
    <phoneticPr fontId="1"/>
  </si>
  <si>
    <t>Ie~=6</t>
    <phoneticPr fontId="1"/>
  </si>
  <si>
    <t>目標Vcb[V]</t>
    <rPh sb="0" eb="2">
      <t>モクヒョウ</t>
    </rPh>
    <phoneticPr fontId="1"/>
  </si>
  <si>
    <t>Vcb[V]</t>
    <phoneticPr fontId="1"/>
  </si>
  <si>
    <t>Ie[mA]</t>
    <phoneticPr fontId="1"/>
  </si>
  <si>
    <t>4.2.2</t>
    <phoneticPr fontId="1"/>
  </si>
  <si>
    <t>Vcb=0[V]</t>
    <phoneticPr fontId="1"/>
  </si>
  <si>
    <t>Vcb=2</t>
    <phoneticPr fontId="1"/>
  </si>
  <si>
    <t>Vcb=4</t>
    <phoneticPr fontId="1"/>
  </si>
  <si>
    <t>4.2.3</t>
    <phoneticPr fontId="1"/>
  </si>
  <si>
    <t>α=</t>
    <phoneticPr fontId="1"/>
  </si>
  <si>
    <t xml:space="preserve">β=α/(1 - α) = </t>
    <phoneticPr fontId="1"/>
  </si>
  <si>
    <t>Ib=18uA</t>
    <phoneticPr fontId="1"/>
  </si>
  <si>
    <t>Ib=37uA</t>
    <phoneticPr fontId="1"/>
  </si>
  <si>
    <t>Ib=58uA</t>
    <phoneticPr fontId="1"/>
  </si>
  <si>
    <t>Ib=6,7uA</t>
    <phoneticPr fontId="1"/>
  </si>
  <si>
    <t>8,9</t>
    <phoneticPr fontId="1"/>
  </si>
  <si>
    <t>42,46</t>
    <phoneticPr fontId="1"/>
  </si>
  <si>
    <t>無理</t>
    <rPh sb="0" eb="2">
      <t>ムリ</t>
    </rPh>
    <phoneticPr fontId="1"/>
  </si>
  <si>
    <t>27,無理</t>
    <rPh sb="3" eb="5">
      <t>ムリ</t>
    </rPh>
    <phoneticPr fontId="1"/>
  </si>
  <si>
    <t>0.0027V</t>
    <phoneticPr fontId="1"/>
  </si>
  <si>
    <t>Vbe[mV]</t>
    <phoneticPr fontId="1"/>
  </si>
  <si>
    <t>2.0055V</t>
    <phoneticPr fontId="1"/>
  </si>
  <si>
    <t>没データ…(Vcbを最初しか2Vや4Vに直していなかったため失敗)</t>
    <rPh sb="0" eb="1">
      <t>ボツ</t>
    </rPh>
    <rPh sb="10" eb="12">
      <t>サイショ</t>
    </rPh>
    <rPh sb="20" eb="21">
      <t>ナオ</t>
    </rPh>
    <rPh sb="30" eb="32">
      <t>シッパイ</t>
    </rPh>
    <phoneticPr fontId="1"/>
  </si>
  <si>
    <t>←これ時間経過で下がっちゃった</t>
    <rPh sb="3" eb="7">
      <t>ジカンケイカ</t>
    </rPh>
    <rPh sb="8" eb="9">
      <t>サ</t>
    </rPh>
    <phoneticPr fontId="1"/>
  </si>
  <si>
    <t>←緑のとき(0~0.5)の実際のIb</t>
    <rPh sb="1" eb="2">
      <t>ミドリ</t>
    </rPh>
    <rPh sb="13" eb="15">
      <t>ジッサイ</t>
    </rPh>
    <phoneticPr fontId="1"/>
  </si>
  <si>
    <t>←黄色のとき(1.0~2.0)の実際のIb</t>
    <rPh sb="1" eb="3">
      <t>キイロ</t>
    </rPh>
    <phoneticPr fontId="1"/>
  </si>
  <si>
    <t>←赤のとき(4.0~10.0)の実際のIb</t>
    <rPh sb="1" eb="2">
      <t>アカ</t>
    </rPh>
    <phoneticPr fontId="1"/>
  </si>
  <si>
    <t>↑合わせるの無理</t>
    <rPh sb="1" eb="2">
      <t>ア</t>
    </rPh>
    <rPh sb="6" eb="8">
      <t>ムリ</t>
    </rPh>
    <phoneticPr fontId="1"/>
  </si>
  <si>
    <t>n</t>
  </si>
  <si>
    <t>xy</t>
  </si>
  <si>
    <t>電源Aoffのとき</t>
    <rPh sb="0" eb="2">
      <t>デンゲン</t>
    </rPh>
    <phoneticPr fontId="1"/>
  </si>
  <si>
    <t>x</t>
  </si>
  <si>
    <t>y</t>
  </si>
  <si>
    <t>x2</t>
  </si>
  <si>
    <t>(x)2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</si>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</sst>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000"/>
    <numFmt numFmtId="178" formatCode="0.0"/>
  </numFmts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1"/>
      <color theme="0" tint="-0.249977111117893"/>
      <name val="游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95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 style="dotted">
        <color auto="1"/>
      </left>
      <right style="thick">
        <color auto="1"/>
      </right>
      <top style="thick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/>
      <right style="dotted">
        <color auto="1"/>
      </right>
      <top style="thick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medium">
        <color auto="1"/>
      </right>
      <top style="dotted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/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/>
      <top style="thick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 style="thin">
        <color auto="1"/>
      </left>
      <right style="dotted">
        <color auto="1"/>
      </right>
      <top style="thick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ck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/>
      <top style="dotted">
        <color auto="1"/>
      </top>
      <bottom/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dotted">
        <color auto="1"/>
      </right>
      <top/>
      <bottom/>
      <diagonal/>
    </border>
    <border>
      <left style="thick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ck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dotted">
        <color auto="1"/>
      </left>
      <right/>
      <top style="thick">
        <color auto="1"/>
      </top>
      <bottom style="medium">
        <color auto="1"/>
      </bottom>
      <diagonal/>
    </border>
    <border>
      <left style="dotted">
        <color auto="1"/>
      </left>
      <right/>
      <top style="thin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dashed">
        <color auto="1"/>
      </right>
      <top style="thick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thin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auto="1"/>
      </right>
      <top style="dotted">
        <color auto="1"/>
      </top>
      <bottom/>
      <diagonal/>
    </border>
    <border>
      <left style="dotted">
        <color auto="1"/>
      </left>
      <right style="thick">
        <color auto="1"/>
      </right>
      <top style="dotted">
        <color auto="1"/>
      </top>
      <bottom/>
      <diagonal/>
    </border>
    <border>
      <left style="thick">
        <color auto="1"/>
      </left>
      <right style="medium">
        <color auto="1"/>
      </right>
      <top style="thin">
        <color indexed="64"/>
      </top>
      <bottom style="thick">
        <color auto="1"/>
      </bottom>
      <diagonal/>
    </border>
    <border>
      <left/>
      <right style="dotted">
        <color auto="1"/>
      </right>
      <top style="thin">
        <color indexed="64"/>
      </top>
      <bottom style="thick">
        <color auto="1"/>
      </bottom>
      <diagonal/>
    </border>
    <border>
      <left style="dotted">
        <color auto="1"/>
      </left>
      <right/>
      <top style="thin">
        <color indexed="64"/>
      </top>
      <bottom style="thick">
        <color auto="1"/>
      </bottom>
      <diagonal/>
    </border>
    <border>
      <left style="thin">
        <color auto="1"/>
      </left>
      <right style="dotted">
        <color auto="1"/>
      </right>
      <top style="thin">
        <color indexed="64"/>
      </top>
      <bottom style="thick">
        <color auto="1"/>
      </bottom>
      <diagonal/>
    </border>
    <border>
      <left style="dotted">
        <color auto="1"/>
      </left>
      <right style="thin">
        <color auto="1"/>
      </right>
      <top style="thin">
        <color indexed="64"/>
      </top>
      <bottom style="thick">
        <color auto="1"/>
      </bottom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/>
      <top/>
      <bottom style="thick">
        <color auto="1"/>
      </bottom>
      <diagonal/>
    </border>
    <border>
      <left style="thin">
        <color auto="1"/>
      </left>
      <right style="dotted">
        <color auto="1"/>
      </right>
      <top/>
      <bottom style="thick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/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4">
    <xf numFmtId="0" fontId="0" fillId="0" borderId="0" xfId="0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right" vertical="center"/>
    </xf>
    <xf numFmtId="0" fontId="4" fillId="0" borderId="0" xfId="0" applyFont="1">
      <alignment vertical="center"/>
    </xf>
    <xf numFmtId="0" fontId="3" fillId="0" borderId="8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38" xfId="0" applyFont="1" applyBorder="1">
      <alignment vertical="center"/>
    </xf>
    <xf numFmtId="0" fontId="3" fillId="0" borderId="17" xfId="0" applyFont="1" applyBorder="1">
      <alignment vertical="center"/>
    </xf>
    <xf numFmtId="0" fontId="3" fillId="0" borderId="22" xfId="0" applyFont="1" applyBorder="1">
      <alignment vertical="center"/>
    </xf>
    <xf numFmtId="0" fontId="3" fillId="0" borderId="23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42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0" fontId="3" fillId="0" borderId="16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41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26" xfId="0" applyFont="1" applyBorder="1">
      <alignment vertical="center"/>
    </xf>
    <xf numFmtId="0" fontId="3" fillId="0" borderId="27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39" xfId="0" applyFont="1" applyBorder="1">
      <alignment vertical="center"/>
    </xf>
    <xf numFmtId="0" fontId="3" fillId="0" borderId="20" xfId="0" applyFont="1" applyBorder="1">
      <alignment vertical="center"/>
    </xf>
    <xf numFmtId="0" fontId="3" fillId="0" borderId="28" xfId="0" applyFont="1" applyBorder="1">
      <alignment vertical="center"/>
    </xf>
    <xf numFmtId="0" fontId="3" fillId="0" borderId="29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40" xfId="0" applyFont="1" applyBorder="1">
      <alignment vertical="center"/>
    </xf>
    <xf numFmtId="0" fontId="3" fillId="0" borderId="21" xfId="0" applyFont="1" applyBorder="1">
      <alignment vertical="center"/>
    </xf>
    <xf numFmtId="0" fontId="3" fillId="0" borderId="30" xfId="0" applyFont="1" applyBorder="1">
      <alignment vertical="center"/>
    </xf>
    <xf numFmtId="0" fontId="3" fillId="0" borderId="31" xfId="0" applyFont="1" applyBorder="1">
      <alignment vertical="center"/>
    </xf>
    <xf numFmtId="0" fontId="3" fillId="0" borderId="4" xfId="0" applyFont="1" applyBorder="1">
      <alignment vertical="center"/>
    </xf>
    <xf numFmtId="176" fontId="3" fillId="0" borderId="11" xfId="0" applyNumberFormat="1" applyFont="1" applyBorder="1">
      <alignment vertical="center"/>
    </xf>
    <xf numFmtId="0" fontId="3" fillId="0" borderId="9" xfId="0" applyFont="1" applyBorder="1" applyAlignment="1">
      <alignment horizontal="right" vertical="center"/>
    </xf>
    <xf numFmtId="176" fontId="3" fillId="0" borderId="9" xfId="0" applyNumberFormat="1" applyFont="1" applyBorder="1">
      <alignment vertical="center"/>
    </xf>
    <xf numFmtId="176" fontId="3" fillId="0" borderId="10" xfId="0" applyNumberFormat="1" applyFont="1" applyBorder="1">
      <alignment vertical="center"/>
    </xf>
    <xf numFmtId="0" fontId="3" fillId="0" borderId="43" xfId="0" applyFont="1" applyBorder="1">
      <alignment vertical="center"/>
    </xf>
    <xf numFmtId="0" fontId="3" fillId="0" borderId="46" xfId="0" applyFont="1" applyBorder="1">
      <alignment vertical="center"/>
    </xf>
    <xf numFmtId="0" fontId="3" fillId="0" borderId="55" xfId="0" applyFont="1" applyBorder="1">
      <alignment vertical="center"/>
    </xf>
    <xf numFmtId="0" fontId="3" fillId="0" borderId="54" xfId="0" applyFont="1" applyBorder="1">
      <alignment vertical="center"/>
    </xf>
    <xf numFmtId="0" fontId="3" fillId="0" borderId="44" xfId="0" applyFont="1" applyBorder="1">
      <alignment vertical="center"/>
    </xf>
    <xf numFmtId="0" fontId="3" fillId="0" borderId="47" xfId="0" applyFont="1" applyBorder="1">
      <alignment vertical="center"/>
    </xf>
    <xf numFmtId="0" fontId="3" fillId="0" borderId="32" xfId="0" applyFont="1" applyBorder="1">
      <alignment vertical="center"/>
    </xf>
    <xf numFmtId="0" fontId="3" fillId="0" borderId="48" xfId="0" applyFont="1" applyBorder="1">
      <alignment vertical="center"/>
    </xf>
    <xf numFmtId="0" fontId="3" fillId="0" borderId="49" xfId="0" applyFont="1" applyBorder="1">
      <alignment vertical="center"/>
    </xf>
    <xf numFmtId="0" fontId="3" fillId="0" borderId="56" xfId="0" applyFont="1" applyBorder="1">
      <alignment vertical="center"/>
    </xf>
    <xf numFmtId="0" fontId="3" fillId="0" borderId="50" xfId="0" applyFont="1" applyBorder="1">
      <alignment vertical="center"/>
    </xf>
    <xf numFmtId="0" fontId="3" fillId="0" borderId="51" xfId="0" applyFont="1" applyBorder="1">
      <alignment vertical="center"/>
    </xf>
    <xf numFmtId="0" fontId="3" fillId="0" borderId="57" xfId="0" applyFont="1" applyBorder="1">
      <alignment vertical="center"/>
    </xf>
    <xf numFmtId="0" fontId="3" fillId="0" borderId="45" xfId="0" applyFont="1" applyBorder="1">
      <alignment vertical="center"/>
    </xf>
    <xf numFmtId="0" fontId="3" fillId="0" borderId="0" xfId="0" applyFont="1" applyAlignment="1">
      <alignment horizontal="right" vertical="center"/>
    </xf>
    <xf numFmtId="177" fontId="3" fillId="0" borderId="0" xfId="0" applyNumberFormat="1" applyFont="1">
      <alignment vertical="center"/>
    </xf>
    <xf numFmtId="178" fontId="3" fillId="0" borderId="0" xfId="0" applyNumberFormat="1" applyFont="1">
      <alignment vertical="center"/>
    </xf>
    <xf numFmtId="0" fontId="3" fillId="0" borderId="36" xfId="0" applyFont="1" applyBorder="1" applyAlignment="1">
      <alignment vertical="center" wrapText="1"/>
    </xf>
    <xf numFmtId="0" fontId="3" fillId="0" borderId="37" xfId="0" applyFont="1" applyBorder="1" applyAlignment="1">
      <alignment vertical="center" wrapText="1"/>
    </xf>
    <xf numFmtId="0" fontId="3" fillId="0" borderId="12" xfId="0" applyFont="1" applyBorder="1" applyAlignment="1">
      <alignment horizontal="right" vertical="center"/>
    </xf>
    <xf numFmtId="0" fontId="3" fillId="0" borderId="19" xfId="0" applyFont="1" applyBorder="1" applyAlignment="1">
      <alignment horizontal="right" vertical="center"/>
    </xf>
    <xf numFmtId="0" fontId="3" fillId="0" borderId="26" xfId="0" applyFont="1" applyBorder="1" applyAlignment="1">
      <alignment horizontal="right" vertical="center"/>
    </xf>
    <xf numFmtId="0" fontId="3" fillId="0" borderId="27" xfId="0" applyFont="1" applyBorder="1" applyAlignment="1">
      <alignment horizontal="right" vertical="center"/>
    </xf>
    <xf numFmtId="0" fontId="3" fillId="0" borderId="13" xfId="0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3" fillId="0" borderId="20" xfId="0" applyFont="1" applyBorder="1" applyAlignment="1">
      <alignment horizontal="right" vertical="center"/>
    </xf>
    <xf numFmtId="0" fontId="3" fillId="0" borderId="28" xfId="0" applyFont="1" applyBorder="1" applyAlignment="1">
      <alignment horizontal="right" vertical="center"/>
    </xf>
    <xf numFmtId="0" fontId="3" fillId="0" borderId="29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76" fontId="3" fillId="0" borderId="11" xfId="0" applyNumberFormat="1" applyFont="1" applyBorder="1" applyAlignment="1">
      <alignment horizontal="right" vertical="center"/>
    </xf>
    <xf numFmtId="176" fontId="3" fillId="0" borderId="9" xfId="0" applyNumberFormat="1" applyFont="1" applyBorder="1" applyAlignment="1">
      <alignment horizontal="right" vertical="center"/>
    </xf>
    <xf numFmtId="0" fontId="3" fillId="0" borderId="52" xfId="0" applyFont="1" applyBorder="1">
      <alignment vertical="center"/>
    </xf>
    <xf numFmtId="0" fontId="3" fillId="0" borderId="53" xfId="0" applyFont="1" applyBorder="1">
      <alignment vertical="center"/>
    </xf>
    <xf numFmtId="0" fontId="3" fillId="0" borderId="33" xfId="0" applyFont="1" applyBorder="1">
      <alignment vertical="center"/>
    </xf>
    <xf numFmtId="0" fontId="3" fillId="0" borderId="34" xfId="0" applyFont="1" applyBorder="1">
      <alignment vertical="center"/>
    </xf>
    <xf numFmtId="0" fontId="3" fillId="0" borderId="0" xfId="0" quotePrefix="1" applyFont="1">
      <alignment vertical="center"/>
    </xf>
    <xf numFmtId="0" fontId="3" fillId="0" borderId="35" xfId="0" applyFont="1" applyBorder="1">
      <alignment vertical="center"/>
    </xf>
    <xf numFmtId="0" fontId="3" fillId="0" borderId="58" xfId="0" applyFont="1" applyBorder="1">
      <alignment vertical="center"/>
    </xf>
    <xf numFmtId="0" fontId="3" fillId="0" borderId="59" xfId="0" applyFont="1" applyBorder="1">
      <alignment vertical="center"/>
    </xf>
    <xf numFmtId="0" fontId="3" fillId="0" borderId="60" xfId="0" applyFont="1" applyBorder="1">
      <alignment vertical="center"/>
    </xf>
    <xf numFmtId="0" fontId="3" fillId="0" borderId="61" xfId="0" applyFont="1" applyBorder="1">
      <alignment vertical="center"/>
    </xf>
    <xf numFmtId="0" fontId="3" fillId="0" borderId="62" xfId="0" applyFont="1" applyBorder="1">
      <alignment vertical="center"/>
    </xf>
    <xf numFmtId="0" fontId="3" fillId="0" borderId="63" xfId="0" applyFont="1" applyBorder="1">
      <alignment vertical="center"/>
    </xf>
    <xf numFmtId="0" fontId="3" fillId="0" borderId="64" xfId="0" applyFont="1" applyBorder="1">
      <alignment vertical="center"/>
    </xf>
    <xf numFmtId="0" fontId="3" fillId="0" borderId="65" xfId="0" applyFont="1" applyBorder="1">
      <alignment vertical="center"/>
    </xf>
    <xf numFmtId="0" fontId="3" fillId="0" borderId="66" xfId="0" applyFont="1" applyBorder="1">
      <alignment vertical="center"/>
    </xf>
    <xf numFmtId="0" fontId="3" fillId="0" borderId="67" xfId="0" applyFont="1" applyBorder="1">
      <alignment vertical="center"/>
    </xf>
    <xf numFmtId="0" fontId="3" fillId="0" borderId="68" xfId="0" applyFont="1" applyBorder="1">
      <alignment vertical="center"/>
    </xf>
    <xf numFmtId="0" fontId="3" fillId="0" borderId="69" xfId="0" applyFont="1" applyBorder="1">
      <alignment vertical="center"/>
    </xf>
    <xf numFmtId="0" fontId="3" fillId="0" borderId="70" xfId="0" applyFont="1" applyBorder="1">
      <alignment vertical="center"/>
    </xf>
    <xf numFmtId="0" fontId="3" fillId="0" borderId="37" xfId="0" applyFont="1" applyBorder="1">
      <alignment vertical="center"/>
    </xf>
    <xf numFmtId="0" fontId="3" fillId="0" borderId="71" xfId="0" applyFont="1" applyBorder="1">
      <alignment vertical="center"/>
    </xf>
    <xf numFmtId="0" fontId="3" fillId="0" borderId="72" xfId="0" applyFont="1" applyBorder="1">
      <alignment vertical="center"/>
    </xf>
    <xf numFmtId="0" fontId="3" fillId="0" borderId="73" xfId="0" applyFont="1" applyBorder="1">
      <alignment vertical="center"/>
    </xf>
    <xf numFmtId="0" fontId="5" fillId="0" borderId="0" xfId="0" applyFont="1">
      <alignment vertical="center"/>
    </xf>
    <xf numFmtId="0" fontId="3" fillId="0" borderId="15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77" fontId="3" fillId="4" borderId="11" xfId="0" applyNumberFormat="1" applyFont="1" applyFill="1" applyBorder="1" applyAlignment="1">
      <alignment horizontal="center" vertical="center"/>
    </xf>
    <xf numFmtId="177" fontId="3" fillId="4" borderId="9" xfId="0" applyNumberFormat="1" applyFont="1" applyFill="1" applyBorder="1" applyAlignment="1">
      <alignment horizontal="center" vertical="center"/>
    </xf>
    <xf numFmtId="0" fontId="3" fillId="5" borderId="0" xfId="0" applyFont="1" applyFill="1">
      <alignment vertical="center"/>
    </xf>
    <xf numFmtId="0" fontId="3" fillId="6" borderId="17" xfId="0" applyFont="1" applyFill="1" applyBorder="1">
      <alignment vertical="center"/>
    </xf>
    <xf numFmtId="0" fontId="0" fillId="6" borderId="22" xfId="0" applyFill="1" applyBorder="1">
      <alignment vertical="center"/>
    </xf>
    <xf numFmtId="0" fontId="0" fillId="6" borderId="5" xfId="0" applyFill="1" applyBorder="1">
      <alignment vertical="center"/>
    </xf>
    <xf numFmtId="177" fontId="3" fillId="3" borderId="9" xfId="0" applyNumberFormat="1" applyFont="1" applyFill="1" applyBorder="1" applyAlignment="1">
      <alignment horizontal="center" vertical="center"/>
    </xf>
    <xf numFmtId="177" fontId="3" fillId="2" borderId="9" xfId="0" applyNumberFormat="1" applyFont="1" applyFill="1" applyBorder="1" applyAlignment="1">
      <alignment horizontal="center" vertical="center"/>
    </xf>
    <xf numFmtId="0" fontId="3" fillId="7" borderId="0" xfId="0" applyFont="1" applyFill="1">
      <alignment vertical="center"/>
    </xf>
    <xf numFmtId="176" fontId="3" fillId="0" borderId="74" xfId="0" applyNumberFormat="1" applyFont="1" applyBorder="1" applyAlignment="1">
      <alignment horizontal="right" vertical="center"/>
    </xf>
    <xf numFmtId="0" fontId="3" fillId="0" borderId="75" xfId="0" applyFont="1" applyBorder="1">
      <alignment vertical="center"/>
    </xf>
    <xf numFmtId="0" fontId="3" fillId="0" borderId="76" xfId="0" applyFont="1" applyBorder="1">
      <alignment vertical="center"/>
    </xf>
    <xf numFmtId="0" fontId="3" fillId="0" borderId="77" xfId="0" applyFont="1" applyBorder="1">
      <alignment vertical="center"/>
    </xf>
    <xf numFmtId="0" fontId="3" fillId="0" borderId="78" xfId="0" applyFont="1" applyBorder="1">
      <alignment vertical="center"/>
    </xf>
    <xf numFmtId="176" fontId="0" fillId="0" borderId="79" xfId="0" applyNumberFormat="1" applyBorder="1" applyAlignment="1">
      <alignment horizontal="right" vertical="center"/>
    </xf>
    <xf numFmtId="0" fontId="0" fillId="0" borderId="80" xfId="0" applyBorder="1">
      <alignment vertical="center"/>
    </xf>
    <xf numFmtId="0" fontId="0" fillId="0" borderId="81" xfId="0" applyBorder="1">
      <alignment vertical="center"/>
    </xf>
    <xf numFmtId="0" fontId="0" fillId="0" borderId="82" xfId="0" applyBorder="1">
      <alignment vertical="center"/>
    </xf>
    <xf numFmtId="0" fontId="0" fillId="0" borderId="83" xfId="0" applyBorder="1">
      <alignment vertical="center"/>
    </xf>
    <xf numFmtId="0" fontId="3" fillId="0" borderId="84" xfId="0" applyFont="1" applyBorder="1">
      <alignment vertical="center"/>
    </xf>
    <xf numFmtId="176" fontId="3" fillId="0" borderId="70" xfId="0" applyNumberFormat="1" applyFont="1" applyBorder="1" applyAlignment="1">
      <alignment horizontal="right" vertical="center"/>
    </xf>
    <xf numFmtId="0" fontId="0" fillId="0" borderId="85" xfId="0" applyBorder="1">
      <alignment vertical="center"/>
    </xf>
    <xf numFmtId="0" fontId="3" fillId="0" borderId="86" xfId="0" applyFont="1" applyBorder="1">
      <alignment vertical="center"/>
    </xf>
    <xf numFmtId="0" fontId="3" fillId="0" borderId="87" xfId="0" applyFont="1" applyBorder="1">
      <alignment vertical="center"/>
    </xf>
    <xf numFmtId="0" fontId="3" fillId="0" borderId="88" xfId="0" applyFont="1" applyBorder="1">
      <alignment vertical="center"/>
    </xf>
    <xf numFmtId="0" fontId="3" fillId="0" borderId="89" xfId="0" applyFont="1" applyBorder="1">
      <alignment vertical="center"/>
    </xf>
    <xf numFmtId="0" fontId="3" fillId="0" borderId="90" xfId="0" applyFont="1" applyBorder="1">
      <alignment vertical="center"/>
    </xf>
    <xf numFmtId="0" fontId="3" fillId="0" borderId="91" xfId="0" applyFont="1" applyBorder="1">
      <alignment vertical="center"/>
    </xf>
    <xf numFmtId="0" fontId="3" fillId="0" borderId="92" xfId="0" applyFont="1" applyBorder="1">
      <alignment vertical="center"/>
    </xf>
    <xf numFmtId="0" fontId="0" fillId="0" borderId="12" xfId="0" applyBorder="1">
      <alignment vertical="center"/>
    </xf>
    <xf numFmtId="0" fontId="0" fillId="8" borderId="0" xfId="0" applyFill="1">
      <alignment vertical="center"/>
    </xf>
    <xf numFmtId="0" fontId="3" fillId="8" borderId="8" xfId="0" applyFont="1" applyFill="1" applyBorder="1">
      <alignment vertical="center"/>
    </xf>
    <xf numFmtId="0" fontId="3" fillId="8" borderId="5" xfId="0" applyFont="1" applyFill="1" applyBorder="1">
      <alignment vertical="center"/>
    </xf>
    <xf numFmtId="0" fontId="3" fillId="8" borderId="17" xfId="0" applyFont="1" applyFill="1" applyBorder="1">
      <alignment vertical="center"/>
    </xf>
    <xf numFmtId="0" fontId="3" fillId="8" borderId="22" xfId="0" applyFont="1" applyFill="1" applyBorder="1">
      <alignment vertical="center"/>
    </xf>
    <xf numFmtId="0" fontId="3" fillId="8" borderId="23" xfId="0" applyFont="1" applyFill="1" applyBorder="1">
      <alignment vertical="center"/>
    </xf>
    <xf numFmtId="0" fontId="3" fillId="8" borderId="2" xfId="0" applyFont="1" applyFill="1" applyBorder="1">
      <alignment vertical="center"/>
    </xf>
    <xf numFmtId="0" fontId="3" fillId="8" borderId="14" xfId="0" applyFont="1" applyFill="1" applyBorder="1">
      <alignment vertical="center"/>
    </xf>
    <xf numFmtId="0" fontId="3" fillId="8" borderId="15" xfId="0" applyFont="1" applyFill="1" applyBorder="1">
      <alignment vertical="center"/>
    </xf>
    <xf numFmtId="0" fontId="3" fillId="8" borderId="18" xfId="0" applyFont="1" applyFill="1" applyBorder="1">
      <alignment vertical="center"/>
    </xf>
    <xf numFmtId="0" fontId="3" fillId="8" borderId="24" xfId="0" applyFont="1" applyFill="1" applyBorder="1">
      <alignment vertical="center"/>
    </xf>
    <xf numFmtId="0" fontId="3" fillId="8" borderId="25" xfId="0" applyFont="1" applyFill="1" applyBorder="1">
      <alignment vertical="center"/>
    </xf>
    <xf numFmtId="0" fontId="3" fillId="8" borderId="16" xfId="0" applyFont="1" applyFill="1" applyBorder="1">
      <alignment vertical="center"/>
    </xf>
    <xf numFmtId="176" fontId="3" fillId="8" borderId="11" xfId="0" applyNumberFormat="1" applyFont="1" applyFill="1" applyBorder="1">
      <alignment vertical="center"/>
    </xf>
    <xf numFmtId="0" fontId="3" fillId="8" borderId="12" xfId="0" applyFont="1" applyFill="1" applyBorder="1">
      <alignment vertical="center"/>
    </xf>
    <xf numFmtId="0" fontId="3" fillId="8" borderId="19" xfId="0" applyFont="1" applyFill="1" applyBorder="1">
      <alignment vertical="center"/>
    </xf>
    <xf numFmtId="0" fontId="3" fillId="8" borderId="26" xfId="0" applyFont="1" applyFill="1" applyBorder="1">
      <alignment vertical="center"/>
    </xf>
    <xf numFmtId="0" fontId="3" fillId="8" borderId="27" xfId="0" applyFont="1" applyFill="1" applyBorder="1">
      <alignment vertical="center"/>
    </xf>
    <xf numFmtId="0" fontId="3" fillId="8" borderId="13" xfId="0" applyFont="1" applyFill="1" applyBorder="1">
      <alignment vertical="center"/>
    </xf>
    <xf numFmtId="0" fontId="3" fillId="8" borderId="9" xfId="0" applyFont="1" applyFill="1" applyBorder="1" applyAlignment="1">
      <alignment horizontal="right" vertical="center"/>
    </xf>
    <xf numFmtId="0" fontId="3" fillId="8" borderId="20" xfId="0" applyFont="1" applyFill="1" applyBorder="1">
      <alignment vertical="center"/>
    </xf>
    <xf numFmtId="0" fontId="3" fillId="8" borderId="29" xfId="0" applyFont="1" applyFill="1" applyBorder="1">
      <alignment vertical="center"/>
    </xf>
    <xf numFmtId="0" fontId="3" fillId="8" borderId="3" xfId="0" applyFont="1" applyFill="1" applyBorder="1">
      <alignment vertical="center"/>
    </xf>
    <xf numFmtId="176" fontId="3" fillId="8" borderId="9" xfId="0" applyNumberFormat="1" applyFont="1" applyFill="1" applyBorder="1">
      <alignment vertical="center"/>
    </xf>
    <xf numFmtId="0" fontId="3" fillId="8" borderId="90" xfId="0" applyFont="1" applyFill="1" applyBorder="1">
      <alignment vertical="center"/>
    </xf>
    <xf numFmtId="0" fontId="3" fillId="8" borderId="52" xfId="0" applyFont="1" applyFill="1" applyBorder="1">
      <alignment vertical="center"/>
    </xf>
    <xf numFmtId="0" fontId="3" fillId="8" borderId="84" xfId="0" applyFont="1" applyFill="1" applyBorder="1">
      <alignment vertical="center"/>
    </xf>
    <xf numFmtId="176" fontId="3" fillId="8" borderId="10" xfId="0" applyNumberFormat="1" applyFont="1" applyFill="1" applyBorder="1">
      <alignment vertical="center"/>
    </xf>
    <xf numFmtId="0" fontId="3" fillId="8" borderId="87" xfId="0" applyFont="1" applyFill="1" applyBorder="1">
      <alignment vertical="center"/>
    </xf>
    <xf numFmtId="0" fontId="3" fillId="8" borderId="88" xfId="0" applyFont="1" applyFill="1" applyBorder="1">
      <alignment vertical="center"/>
    </xf>
    <xf numFmtId="0" fontId="3" fillId="8" borderId="89" xfId="0" applyFont="1" applyFill="1" applyBorder="1">
      <alignment vertical="center"/>
    </xf>
    <xf numFmtId="0" fontId="3" fillId="8" borderId="31" xfId="0" applyFont="1" applyFill="1" applyBorder="1">
      <alignment vertical="center"/>
    </xf>
    <xf numFmtId="0" fontId="3" fillId="8" borderId="4" xfId="0" applyFont="1" applyFill="1" applyBorder="1">
      <alignment vertical="center"/>
    </xf>
    <xf numFmtId="0" fontId="3" fillId="0" borderId="93" xfId="0" applyFont="1" applyBorder="1" applyAlignment="1">
      <alignment horizontal="right" vertical="center"/>
    </xf>
    <xf numFmtId="0" fontId="3" fillId="0" borderId="76" xfId="0" applyFont="1" applyBorder="1" applyAlignment="1">
      <alignment horizontal="right" vertical="center"/>
    </xf>
    <xf numFmtId="0" fontId="3" fillId="0" borderId="9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4V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'4.1 エミッタ接地 (a班)'!$G$29:$G$49</c:f>
              <c:numCache>
                <c:formatCode>General</c:formatCode>
                <c:ptCount val="21"/>
                <c:pt idx="0">
                  <c:v>6.9999999999999999E-4</c:v>
                </c:pt>
                <c:pt idx="2">
                  <c:v>0.40300000000000002</c:v>
                </c:pt>
                <c:pt idx="3">
                  <c:v>0.42480000000000001</c:v>
                </c:pt>
                <c:pt idx="4">
                  <c:v>0.4526</c:v>
                </c:pt>
                <c:pt idx="5">
                  <c:v>0.47820000000000001</c:v>
                </c:pt>
                <c:pt idx="6">
                  <c:v>0.50129999999999997</c:v>
                </c:pt>
                <c:pt idx="7">
                  <c:v>0.52329999999999999</c:v>
                </c:pt>
                <c:pt idx="8">
                  <c:v>0.54869999999999997</c:v>
                </c:pt>
                <c:pt idx="9">
                  <c:v>0.57469999999999999</c:v>
                </c:pt>
                <c:pt idx="10">
                  <c:v>0.59940000000000004</c:v>
                </c:pt>
                <c:pt idx="11">
                  <c:v>0.62560000000000004</c:v>
                </c:pt>
                <c:pt idx="12">
                  <c:v>0.65049999999999997</c:v>
                </c:pt>
                <c:pt idx="13">
                  <c:v>0.67589999999999995</c:v>
                </c:pt>
                <c:pt idx="14">
                  <c:v>0.70109999999999995</c:v>
                </c:pt>
                <c:pt idx="15">
                  <c:v>0.7268</c:v>
                </c:pt>
                <c:pt idx="16">
                  <c:v>0.75309999999999999</c:v>
                </c:pt>
                <c:pt idx="17">
                  <c:v>0.77339999999999998</c:v>
                </c:pt>
                <c:pt idx="18">
                  <c:v>0.79949999999999999</c:v>
                </c:pt>
                <c:pt idx="19">
                  <c:v>0.82589999999999997</c:v>
                </c:pt>
                <c:pt idx="20">
                  <c:v>0.85440000000000005</c:v>
                </c:pt>
              </c:numCache>
            </c:numRef>
          </c:xVal>
          <c:yVal>
            <c:numRef>
              <c:f>'4.1 エミッタ接地 (a班)'!$H$29:$H$49</c:f>
              <c:numCache>
                <c:formatCode>General</c:formatCode>
                <c:ptCount val="21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0.35299999999999998</c:v>
                </c:pt>
                <c:pt idx="12">
                  <c:v>0.30599999999999999</c:v>
                </c:pt>
                <c:pt idx="13">
                  <c:v>0.31900000000000001</c:v>
                </c:pt>
                <c:pt idx="14">
                  <c:v>0.46899999999999997</c:v>
                </c:pt>
                <c:pt idx="15">
                  <c:v>0.53600000000000003</c:v>
                </c:pt>
                <c:pt idx="16">
                  <c:v>0.53600000000000003</c:v>
                </c:pt>
                <c:pt idx="17">
                  <c:v>0.78500000000000003</c:v>
                </c:pt>
                <c:pt idx="18">
                  <c:v>1.9</c:v>
                </c:pt>
                <c:pt idx="19">
                  <c:v>2.34</c:v>
                </c:pt>
                <c:pt idx="20">
                  <c:v>2.83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6C-554C-A9BC-E9BC957BBAE3}"/>
            </c:ext>
          </c:extLst>
        </c:ser>
        <c:ser>
          <c:idx val="2"/>
          <c:order val="1"/>
          <c:tx>
            <c:v>2V</c:v>
          </c:tx>
          <c:spPr>
            <a:ln w="19050" cap="rnd">
              <a:noFill/>
              <a:round/>
            </a:ln>
            <a:effectLst/>
          </c:spPr>
          <c:xVal>
            <c:numRef>
              <c:f>'4.1 エミッタ接地 (a班)'!$E$29:$E$49</c:f>
              <c:numCache>
                <c:formatCode>General</c:formatCode>
                <c:ptCount val="21"/>
                <c:pt idx="0">
                  <c:v>4.0000000000000002E-4</c:v>
                </c:pt>
                <c:pt idx="2">
                  <c:v>0.39879999999999999</c:v>
                </c:pt>
                <c:pt idx="3">
                  <c:v>0.4274</c:v>
                </c:pt>
                <c:pt idx="4">
                  <c:v>0.45269999999999999</c:v>
                </c:pt>
                <c:pt idx="5">
                  <c:v>0.47249999999999998</c:v>
                </c:pt>
                <c:pt idx="6">
                  <c:v>0.50370000000000004</c:v>
                </c:pt>
                <c:pt idx="7">
                  <c:v>0.52400000000000002</c:v>
                </c:pt>
                <c:pt idx="8">
                  <c:v>0.54920000000000002</c:v>
                </c:pt>
                <c:pt idx="9">
                  <c:v>0.57420000000000004</c:v>
                </c:pt>
                <c:pt idx="10">
                  <c:v>0.59970000000000001</c:v>
                </c:pt>
                <c:pt idx="11">
                  <c:v>0.62480000000000002</c:v>
                </c:pt>
                <c:pt idx="12">
                  <c:v>0.65080000000000005</c:v>
                </c:pt>
                <c:pt idx="13">
                  <c:v>0.67579999999999996</c:v>
                </c:pt>
                <c:pt idx="14">
                  <c:v>0.69889999999999997</c:v>
                </c:pt>
                <c:pt idx="15">
                  <c:v>0.72660000000000002</c:v>
                </c:pt>
                <c:pt idx="16">
                  <c:v>0.75209999999999999</c:v>
                </c:pt>
                <c:pt idx="17">
                  <c:v>0.77559999999999996</c:v>
                </c:pt>
                <c:pt idx="18">
                  <c:v>0.80079999999999996</c:v>
                </c:pt>
                <c:pt idx="19">
                  <c:v>0.82540000000000002</c:v>
                </c:pt>
                <c:pt idx="20">
                  <c:v>0.84970000000000001</c:v>
                </c:pt>
              </c:numCache>
            </c:numRef>
          </c:xVal>
          <c:yVal>
            <c:numRef>
              <c:f>'4.1 エミッタ接地 (a班)'!$F$29:$F$49</c:f>
              <c:numCache>
                <c:formatCode>General</c:formatCode>
                <c:ptCount val="21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8.9999999999999993E-3</c:v>
                </c:pt>
                <c:pt idx="4">
                  <c:v>1.0999999999999999E-2</c:v>
                </c:pt>
                <c:pt idx="5">
                  <c:v>1.0999999999999999E-2</c:v>
                </c:pt>
                <c:pt idx="6">
                  <c:v>0.01</c:v>
                </c:pt>
                <c:pt idx="7">
                  <c:v>1.0999999999999999E-2</c:v>
                </c:pt>
                <c:pt idx="8">
                  <c:v>0.13300000000000001</c:v>
                </c:pt>
                <c:pt idx="9">
                  <c:v>0.14000000000000001</c:v>
                </c:pt>
                <c:pt idx="10">
                  <c:v>0.15</c:v>
                </c:pt>
                <c:pt idx="11">
                  <c:v>0.14499999999999999</c:v>
                </c:pt>
                <c:pt idx="12">
                  <c:v>0.151</c:v>
                </c:pt>
                <c:pt idx="13">
                  <c:v>0.16</c:v>
                </c:pt>
                <c:pt idx="14">
                  <c:v>0.161</c:v>
                </c:pt>
                <c:pt idx="15">
                  <c:v>0.19400000000000001</c:v>
                </c:pt>
                <c:pt idx="16">
                  <c:v>0.28199999999999997</c:v>
                </c:pt>
                <c:pt idx="17">
                  <c:v>0.39400000000000002</c:v>
                </c:pt>
                <c:pt idx="18">
                  <c:v>0.75700000000000001</c:v>
                </c:pt>
                <c:pt idx="19">
                  <c:v>1.474</c:v>
                </c:pt>
                <c:pt idx="20">
                  <c:v>2.4729999999999999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6C-554C-A9BC-E9BC957BBAE3}"/>
            </c:ext>
          </c:extLst>
        </c:ser>
        <c:ser>
          <c:idx val="1"/>
          <c:order val="2"/>
          <c:tx>
            <c:v>0V</c:v>
          </c:tx>
          <c:spPr>
            <a:ln w="19050">
              <a:noFill/>
            </a:ln>
          </c:spPr>
          <c:xVal>
            <c:numRef>
              <c:f>'4.1 エミッタ接地 (a班)'!$C$29:$C$49</c:f>
              <c:numCache>
                <c:formatCode>General</c:formatCode>
                <c:ptCount val="21"/>
                <c:pt idx="0">
                  <c:v>5.0000000000000001E-4</c:v>
                </c:pt>
                <c:pt idx="2">
                  <c:v>0.4027</c:v>
                </c:pt>
                <c:pt idx="3">
                  <c:v>0.42730000000000001</c:v>
                </c:pt>
                <c:pt idx="4">
                  <c:v>0.44979999999999998</c:v>
                </c:pt>
                <c:pt idx="5">
                  <c:v>0.47499999999999998</c:v>
                </c:pt>
                <c:pt idx="6">
                  <c:v>0.50009999999999999</c:v>
                </c:pt>
                <c:pt idx="7">
                  <c:v>0.52459999999999996</c:v>
                </c:pt>
                <c:pt idx="8">
                  <c:v>0.54910000000000003</c:v>
                </c:pt>
                <c:pt idx="9">
                  <c:v>0.57479999999999998</c:v>
                </c:pt>
                <c:pt idx="10">
                  <c:v>0.59930000000000005</c:v>
                </c:pt>
                <c:pt idx="11">
                  <c:v>0.62619999999999998</c:v>
                </c:pt>
                <c:pt idx="12">
                  <c:v>0.65029999999999999</c:v>
                </c:pt>
                <c:pt idx="13">
                  <c:v>0.67579999999999996</c:v>
                </c:pt>
                <c:pt idx="14">
                  <c:v>0.70760000000000001</c:v>
                </c:pt>
                <c:pt idx="15">
                  <c:v>0.72650000000000003</c:v>
                </c:pt>
                <c:pt idx="16">
                  <c:v>0.752</c:v>
                </c:pt>
                <c:pt idx="17">
                  <c:v>0.77500000000000002</c:v>
                </c:pt>
                <c:pt idx="18">
                  <c:v>0.8</c:v>
                </c:pt>
                <c:pt idx="19">
                  <c:v>0.82569999999999999</c:v>
                </c:pt>
                <c:pt idx="20">
                  <c:v>0.85140000000000005</c:v>
                </c:pt>
              </c:numCache>
            </c:numRef>
          </c:xVal>
          <c:yVal>
            <c:numRef>
              <c:f>'4.1 エミッタ接地 (a班)'!$D$29:$D$49</c:f>
              <c:numCache>
                <c:formatCode>General</c:formatCode>
                <c:ptCount val="21"/>
                <c:pt idx="0">
                  <c:v>0.01</c:v>
                </c:pt>
                <c:pt idx="1">
                  <c:v>1.2999999999999999E-2</c:v>
                </c:pt>
                <c:pt idx="2">
                  <c:v>1.0999999999999999E-2</c:v>
                </c:pt>
                <c:pt idx="3">
                  <c:v>1.0999999999999999E-2</c:v>
                </c:pt>
                <c:pt idx="4">
                  <c:v>1.0999999999999999E-2</c:v>
                </c:pt>
                <c:pt idx="5">
                  <c:v>1.0999999999999999E-2</c:v>
                </c:pt>
                <c:pt idx="6">
                  <c:v>1.2E-2</c:v>
                </c:pt>
                <c:pt idx="7">
                  <c:v>1.2999999999999999E-2</c:v>
                </c:pt>
                <c:pt idx="8">
                  <c:v>1.7000000000000001E-2</c:v>
                </c:pt>
                <c:pt idx="9">
                  <c:v>2.5999999999999999E-2</c:v>
                </c:pt>
                <c:pt idx="10">
                  <c:v>4.2999999999999997E-2</c:v>
                </c:pt>
                <c:pt idx="11">
                  <c:v>8.5000000000000006E-2</c:v>
                </c:pt>
                <c:pt idx="12">
                  <c:v>0.161</c:v>
                </c:pt>
                <c:pt idx="13">
                  <c:v>0.318</c:v>
                </c:pt>
                <c:pt idx="14">
                  <c:v>0.74</c:v>
                </c:pt>
                <c:pt idx="15">
                  <c:v>1.216</c:v>
                </c:pt>
                <c:pt idx="16">
                  <c:v>2.3559999999999999</c:v>
                </c:pt>
                <c:pt idx="17">
                  <c:v>4.18</c:v>
                </c:pt>
                <c:pt idx="18">
                  <c:v>7.58</c:v>
                </c:pt>
                <c:pt idx="19">
                  <c:v>13.321</c:v>
                </c:pt>
                <c:pt idx="20">
                  <c:v>20.925999999999998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6C-554C-A9BC-E9BC957BB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328544"/>
        <c:axId val="2076368800"/>
      </c:scatterChart>
      <c:valAx>
        <c:axId val="155328544"/>
        <c:scaling>
          <c:orientation val="minMax"/>
          <c:max val="0.9"/>
          <c:min val="-0.1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ベース－エミッタ間電圧 　</a:t>
                </a:r>
                <a:r>
                  <a:rPr lang="en-US" altLang="ja-JP"/>
                  <a:t>Vbe[V]</a:t>
                </a:r>
              </a:p>
            </c:rich>
          </c:tx>
          <c:overlay val="0"/>
        </c:title>
        <c:numFmt formatCode="General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2076368800"/>
        <c:crossesAt val="-100"/>
        <c:crossBetween val="midCat"/>
        <c:majorUnit val="0.1"/>
        <c:minorUnit val="2.5000000000000005E-2"/>
      </c:valAx>
      <c:valAx>
        <c:axId val="2076368800"/>
        <c:scaling>
          <c:orientation val="minMax"/>
          <c:max val="25"/>
          <c:min val="-5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/>
                  <a:t>ベース電流 </a:t>
                </a:r>
                <a:r>
                  <a:rPr lang="en-US"/>
                  <a:t>Ib[mA]</a:t>
                </a:r>
                <a:endParaRPr lang="ja-JP"/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155328544"/>
        <c:crossesAt val="-100"/>
        <c:crossBetween val="midCat"/>
        <c:majorUnit val="5"/>
        <c:minorUnit val="1"/>
      </c:valAx>
      <c:spPr>
        <a:ln>
          <a:solidFill>
            <a:schemeClr val="tx1"/>
          </a:solidFill>
        </a:ln>
      </c:spPr>
    </c:plotArea>
    <c:legend>
      <c:legendPos val="r"/>
      <c:overlay val="0"/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 b="0">
          <a:solidFill>
            <a:schemeClr val="tx1"/>
          </a:solidFill>
          <a:latin typeface="ＭＳ Ｐ明朝" panose="02020600040205080304" pitchFamily="18" charset="-128"/>
          <a:ea typeface="ＭＳ Ｐ明朝" panose="02020600040205080304" pitchFamily="18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Ib=60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'4.1 エミッタ接地 (a班)'!$I$5:$I$22</c:f>
              <c:numCache>
                <c:formatCode>General</c:formatCode>
                <c:ptCount val="18"/>
                <c:pt idx="0">
                  <c:v>1.03E-2</c:v>
                </c:pt>
                <c:pt idx="1">
                  <c:v>4.8899999999999999E-2</c:v>
                </c:pt>
                <c:pt idx="2">
                  <c:v>9.5000000000000001E-2</c:v>
                </c:pt>
                <c:pt idx="3">
                  <c:v>0.14449999999999999</c:v>
                </c:pt>
                <c:pt idx="4">
                  <c:v>0.2019</c:v>
                </c:pt>
                <c:pt idx="5">
                  <c:v>0.2487</c:v>
                </c:pt>
                <c:pt idx="6">
                  <c:v>0.29549999999999998</c:v>
                </c:pt>
                <c:pt idx="7">
                  <c:v>0.34639999999999999</c:v>
                </c:pt>
                <c:pt idx="8">
                  <c:v>0.39750000000000002</c:v>
                </c:pt>
                <c:pt idx="9">
                  <c:v>0.44900000000000001</c:v>
                </c:pt>
                <c:pt idx="10">
                  <c:v>0.50419999999999998</c:v>
                </c:pt>
                <c:pt idx="11">
                  <c:v>1.0005999999999999</c:v>
                </c:pt>
                <c:pt idx="12">
                  <c:v>1.4991000000000001</c:v>
                </c:pt>
                <c:pt idx="13">
                  <c:v>1.5308999999999999</c:v>
                </c:pt>
                <c:pt idx="14">
                  <c:v>1.3594999999999999</c:v>
                </c:pt>
                <c:pt idx="15">
                  <c:v>1.5958000000000001</c:v>
                </c:pt>
                <c:pt idx="16">
                  <c:v>1.8819999999999999</c:v>
                </c:pt>
                <c:pt idx="17">
                  <c:v>1.4895</c:v>
                </c:pt>
              </c:numCache>
            </c:numRef>
          </c:xVal>
          <c:yVal>
            <c:numRef>
              <c:f>'4.1 エミッタ接地 (a班)'!$J$5:$J$22</c:f>
              <c:numCache>
                <c:formatCode>General</c:formatCode>
                <c:ptCount val="18"/>
                <c:pt idx="0">
                  <c:v>0</c:v>
                </c:pt>
                <c:pt idx="1">
                  <c:v>0.45600000000000002</c:v>
                </c:pt>
                <c:pt idx="2">
                  <c:v>2.016</c:v>
                </c:pt>
                <c:pt idx="3">
                  <c:v>4.6100000000000003</c:v>
                </c:pt>
                <c:pt idx="4">
                  <c:v>6.2119999999999997</c:v>
                </c:pt>
                <c:pt idx="5">
                  <c:v>6.6</c:v>
                </c:pt>
                <c:pt idx="6">
                  <c:v>6.7469999999999999</c:v>
                </c:pt>
                <c:pt idx="7">
                  <c:v>6.5830000000000002</c:v>
                </c:pt>
                <c:pt idx="8">
                  <c:v>6.7450000000000001</c:v>
                </c:pt>
                <c:pt idx="9">
                  <c:v>6.6589999999999998</c:v>
                </c:pt>
                <c:pt idx="10">
                  <c:v>6.8529999999999998</c:v>
                </c:pt>
                <c:pt idx="11">
                  <c:v>5.5149999999999997</c:v>
                </c:pt>
                <c:pt idx="12">
                  <c:v>6.4749999999999996</c:v>
                </c:pt>
                <c:pt idx="13">
                  <c:v>6.6959999999999997</c:v>
                </c:pt>
                <c:pt idx="14">
                  <c:v>6.6779999999999999</c:v>
                </c:pt>
                <c:pt idx="15">
                  <c:v>6.74</c:v>
                </c:pt>
                <c:pt idx="16">
                  <c:v>6.6319999999999997</c:v>
                </c:pt>
                <c:pt idx="17">
                  <c:v>6.8289999999999997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3A-D444-B173-CFC70A2C5943}"/>
            </c:ext>
          </c:extLst>
        </c:ser>
        <c:ser>
          <c:idx val="3"/>
          <c:order val="1"/>
          <c:tx>
            <c:v>Ib=40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6"/>
              </a:solidFill>
              <a:ln>
                <a:noFill/>
              </a:ln>
            </c:spPr>
          </c:marker>
          <c:xVal>
            <c:numRef>
              <c:f>'4.1 エミッタ接地 (a班)'!$G$5:$G$22</c:f>
              <c:numCache>
                <c:formatCode>General</c:formatCode>
                <c:ptCount val="18"/>
                <c:pt idx="0">
                  <c:v>1.01E-3</c:v>
                </c:pt>
                <c:pt idx="1">
                  <c:v>4.9099999999999998E-2</c:v>
                </c:pt>
                <c:pt idx="2">
                  <c:v>9.5299999999999996E-2</c:v>
                </c:pt>
                <c:pt idx="3">
                  <c:v>0.1447</c:v>
                </c:pt>
                <c:pt idx="4">
                  <c:v>0.20250000000000001</c:v>
                </c:pt>
                <c:pt idx="5">
                  <c:v>0.2492</c:v>
                </c:pt>
                <c:pt idx="6">
                  <c:v>0.29499999999999998</c:v>
                </c:pt>
                <c:pt idx="7">
                  <c:v>0.34670000000000001</c:v>
                </c:pt>
                <c:pt idx="8">
                  <c:v>0.39810000000000001</c:v>
                </c:pt>
                <c:pt idx="9">
                  <c:v>0.44929999999999998</c:v>
                </c:pt>
                <c:pt idx="10">
                  <c:v>0.50470000000000004</c:v>
                </c:pt>
                <c:pt idx="11">
                  <c:v>1.0006999999999999</c:v>
                </c:pt>
                <c:pt idx="12">
                  <c:v>1.4992000000000001</c:v>
                </c:pt>
                <c:pt idx="13">
                  <c:v>2.0066000000000002</c:v>
                </c:pt>
                <c:pt idx="14">
                  <c:v>2.3611</c:v>
                </c:pt>
                <c:pt idx="15">
                  <c:v>2.2946</c:v>
                </c:pt>
                <c:pt idx="16">
                  <c:v>1.9539</c:v>
                </c:pt>
                <c:pt idx="17">
                  <c:v>2.0571000000000002</c:v>
                </c:pt>
              </c:numCache>
            </c:numRef>
          </c:xVal>
          <c:yVal>
            <c:numRef>
              <c:f>'4.1 エミッタ接地 (a班)'!$H$5:$H$22</c:f>
              <c:numCache>
                <c:formatCode>General</c:formatCode>
                <c:ptCount val="18"/>
                <c:pt idx="0">
                  <c:v>0</c:v>
                </c:pt>
                <c:pt idx="1">
                  <c:v>0.26200000000000001</c:v>
                </c:pt>
                <c:pt idx="2">
                  <c:v>1.18</c:v>
                </c:pt>
                <c:pt idx="3">
                  <c:v>3.0979999999999999</c:v>
                </c:pt>
                <c:pt idx="4">
                  <c:v>4.0949999999999998</c:v>
                </c:pt>
                <c:pt idx="5">
                  <c:v>4.0629999999999997</c:v>
                </c:pt>
                <c:pt idx="6">
                  <c:v>4.2300000000000004</c:v>
                </c:pt>
                <c:pt idx="7">
                  <c:v>4.2220000000000004</c:v>
                </c:pt>
                <c:pt idx="8">
                  <c:v>3.7810000000000001</c:v>
                </c:pt>
                <c:pt idx="9">
                  <c:v>3.9809999999999999</c:v>
                </c:pt>
                <c:pt idx="10">
                  <c:v>3.84</c:v>
                </c:pt>
                <c:pt idx="11">
                  <c:v>3.7250000000000001</c:v>
                </c:pt>
                <c:pt idx="12">
                  <c:v>4.6619999999999999</c:v>
                </c:pt>
                <c:pt idx="13">
                  <c:v>5.9489999999999998</c:v>
                </c:pt>
                <c:pt idx="14">
                  <c:v>6.5670000000000002</c:v>
                </c:pt>
                <c:pt idx="15">
                  <c:v>6.65</c:v>
                </c:pt>
                <c:pt idx="16">
                  <c:v>6.6740000000000004</c:v>
                </c:pt>
                <c:pt idx="17">
                  <c:v>6.7859999999999996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A-D444-B173-CFC70A2C5943}"/>
            </c:ext>
          </c:extLst>
        </c:ser>
        <c:ser>
          <c:idx val="2"/>
          <c:order val="2"/>
          <c:tx>
            <c:v>Ib=20</c:v>
          </c:tx>
          <c:spPr>
            <a:ln w="19050" cap="rnd">
              <a:noFill/>
              <a:round/>
            </a:ln>
            <a:effectLst/>
          </c:spPr>
          <c:xVal>
            <c:numRef>
              <c:f>'4.1 エミッタ接地 (a班)'!$E$5:$E$22</c:f>
              <c:numCache>
                <c:formatCode>General</c:formatCode>
                <c:ptCount val="18"/>
                <c:pt idx="0">
                  <c:v>7.9000000000000008E-3</c:v>
                </c:pt>
                <c:pt idx="1">
                  <c:v>4.9200000000000001E-2</c:v>
                </c:pt>
                <c:pt idx="2">
                  <c:v>9.5100000000000004E-2</c:v>
                </c:pt>
                <c:pt idx="3">
                  <c:v>0.14530000000000001</c:v>
                </c:pt>
                <c:pt idx="4">
                  <c:v>0.20349999999999999</c:v>
                </c:pt>
                <c:pt idx="5">
                  <c:v>0.25019999999999998</c:v>
                </c:pt>
                <c:pt idx="6">
                  <c:v>0.29599999999999999</c:v>
                </c:pt>
                <c:pt idx="7">
                  <c:v>0.3478</c:v>
                </c:pt>
                <c:pt idx="8">
                  <c:v>0.39800000000000002</c:v>
                </c:pt>
                <c:pt idx="9">
                  <c:v>0.44950000000000001</c:v>
                </c:pt>
                <c:pt idx="10">
                  <c:v>0.50370000000000004</c:v>
                </c:pt>
                <c:pt idx="11">
                  <c:v>1.0007999999999999</c:v>
                </c:pt>
              </c:numCache>
            </c:numRef>
          </c:xVal>
          <c:yVal>
            <c:numRef>
              <c:f>'4.1 エミッタ接地 (a班)'!$F$5:$F$22</c:f>
              <c:numCache>
                <c:formatCode>General</c:formatCode>
                <c:ptCount val="18"/>
                <c:pt idx="0">
                  <c:v>2E-3</c:v>
                </c:pt>
                <c:pt idx="1">
                  <c:v>0.09</c:v>
                </c:pt>
                <c:pt idx="2">
                  <c:v>0.46800000000000003</c:v>
                </c:pt>
                <c:pt idx="3">
                  <c:v>1.29</c:v>
                </c:pt>
                <c:pt idx="4">
                  <c:v>1.635</c:v>
                </c:pt>
                <c:pt idx="5">
                  <c:v>1.2989999999999999</c:v>
                </c:pt>
                <c:pt idx="6">
                  <c:v>1.27</c:v>
                </c:pt>
                <c:pt idx="7">
                  <c:v>1.306</c:v>
                </c:pt>
                <c:pt idx="8">
                  <c:v>1.38</c:v>
                </c:pt>
                <c:pt idx="9">
                  <c:v>1.423</c:v>
                </c:pt>
                <c:pt idx="10">
                  <c:v>1.4390000000000001</c:v>
                </c:pt>
                <c:pt idx="11">
                  <c:v>2.8490000000000002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A-D444-B173-CFC70A2C5943}"/>
            </c:ext>
          </c:extLst>
        </c:ser>
        <c:ser>
          <c:idx val="1"/>
          <c:order val="3"/>
          <c:tx>
            <c:v>Ib=0[µA]</c:v>
          </c:tx>
          <c:spPr>
            <a:ln w="19050">
              <a:noFill/>
            </a:ln>
          </c:spPr>
          <c:xVal>
            <c:numRef>
              <c:f>'4.1 エミッタ接地 (a班)'!$C$5:$C$22</c:f>
              <c:numCache>
                <c:formatCode>General</c:formatCode>
                <c:ptCount val="18"/>
                <c:pt idx="0">
                  <c:v>1.4E-3</c:v>
                </c:pt>
                <c:pt idx="1">
                  <c:v>4.9299999999999997E-2</c:v>
                </c:pt>
                <c:pt idx="2">
                  <c:v>9.6500000000000002E-2</c:v>
                </c:pt>
                <c:pt idx="3">
                  <c:v>0.14660000000000001</c:v>
                </c:pt>
                <c:pt idx="4">
                  <c:v>0.20530000000000001</c:v>
                </c:pt>
                <c:pt idx="5">
                  <c:v>0.251</c:v>
                </c:pt>
                <c:pt idx="6">
                  <c:v>0.29509999999999997</c:v>
                </c:pt>
                <c:pt idx="7">
                  <c:v>0.34789999999999999</c:v>
                </c:pt>
                <c:pt idx="8">
                  <c:v>0.4012</c:v>
                </c:pt>
                <c:pt idx="9">
                  <c:v>0.44969999999999999</c:v>
                </c:pt>
                <c:pt idx="10">
                  <c:v>0.50509999999999999</c:v>
                </c:pt>
                <c:pt idx="11">
                  <c:v>1.0001</c:v>
                </c:pt>
                <c:pt idx="12">
                  <c:v>1.4997</c:v>
                </c:pt>
                <c:pt idx="13">
                  <c:v>2.0074000000000001</c:v>
                </c:pt>
                <c:pt idx="14">
                  <c:v>3.9992000000000001</c:v>
                </c:pt>
                <c:pt idx="15">
                  <c:v>6.0011000000000001</c:v>
                </c:pt>
                <c:pt idx="16">
                  <c:v>7.9987000000000004</c:v>
                </c:pt>
                <c:pt idx="17">
                  <c:v>10.0054</c:v>
                </c:pt>
              </c:numCache>
            </c:numRef>
          </c:xVal>
          <c:yVal>
            <c:numRef>
              <c:f>'4.1 エミッタ接地 (a班)'!$D$5:$D$22</c:f>
              <c:numCache>
                <c:formatCode>General</c:formatCode>
                <c:ptCount val="18"/>
                <c:pt idx="0">
                  <c:v>6.0000000000000001E-3</c:v>
                </c:pt>
                <c:pt idx="1">
                  <c:v>7.0000000000000001E-3</c:v>
                </c:pt>
                <c:pt idx="2">
                  <c:v>7.0000000000000001E-3</c:v>
                </c:pt>
                <c:pt idx="3">
                  <c:v>8.0000000000000002E-3</c:v>
                </c:pt>
                <c:pt idx="4">
                  <c:v>8.0000000000000002E-3</c:v>
                </c:pt>
                <c:pt idx="5">
                  <c:v>8.0000000000000002E-3</c:v>
                </c:pt>
                <c:pt idx="6">
                  <c:v>8.0000000000000002E-3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8.0000000000000002E-3</c:v>
                </c:pt>
                <c:pt idx="10">
                  <c:v>8.9999999999999993E-3</c:v>
                </c:pt>
                <c:pt idx="11">
                  <c:v>8.0000000000000002E-3</c:v>
                </c:pt>
                <c:pt idx="12">
                  <c:v>8.9999999999999993E-3</c:v>
                </c:pt>
                <c:pt idx="13">
                  <c:v>8.9999999999999993E-3</c:v>
                </c:pt>
                <c:pt idx="14">
                  <c:v>8.9999999999999993E-3</c:v>
                </c:pt>
                <c:pt idx="15">
                  <c:v>8.9999999999999993E-3</c:v>
                </c:pt>
                <c:pt idx="16">
                  <c:v>8.9999999999999993E-3</c:v>
                </c:pt>
                <c:pt idx="17">
                  <c:v>8.9999999999999993E-3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A-D444-B173-CFC70A2C5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579232"/>
        <c:axId val="2015784304"/>
      </c:scatterChart>
      <c:valAx>
        <c:axId val="156579232"/>
        <c:scaling>
          <c:orientation val="minMax"/>
          <c:max val="11"/>
          <c:min val="-1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コレクタ－エミッタ間電圧　　　 </a:t>
                </a:r>
                <a:r>
                  <a:rPr lang="en-US" altLang="ja-JP"/>
                  <a:t>Vce[V]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1059915742707617"/>
              <c:y val="0.8907941884613878"/>
            </c:manualLayout>
          </c:layout>
          <c:overlay val="0"/>
        </c:title>
        <c:numFmt formatCode="General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2015784304"/>
        <c:crossesAt val="-100"/>
        <c:crossBetween val="midCat"/>
        <c:majorUnit val="2"/>
        <c:minorUnit val="0.25"/>
      </c:valAx>
      <c:valAx>
        <c:axId val="2015784304"/>
        <c:scaling>
          <c:orientation val="minMax"/>
          <c:max val="8"/>
          <c:min val="-1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/>
                </a:pPr>
                <a:r>
                  <a:rPr lang="ja-JP" altLang="en-US"/>
                  <a:t>コレクタ電流　　 </a:t>
                </a:r>
                <a:r>
                  <a:rPr lang="en-US" altLang="ja-JP"/>
                  <a:t>Ic[mA]</a:t>
                </a:r>
              </a:p>
            </c:rich>
          </c:tx>
          <c:overlay val="0"/>
        </c:title>
        <c:numFmt formatCode="General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156579232"/>
        <c:crossesAt val="-100"/>
        <c:crossBetween val="midCat"/>
        <c:majorUnit val="5"/>
        <c:minorUnit val="1"/>
      </c:valAx>
      <c:spPr>
        <a:ln w="9525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83118428682645951"/>
          <c:y val="0.31996218177512453"/>
          <c:w val="0.14696602371511619"/>
          <c:h val="0.30066272119285486"/>
        </c:manualLayout>
      </c:layout>
      <c:overlay val="0"/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 sz="1050" b="0">
          <a:latin typeface="ＭＳ Ｐ明朝" panose="02020600040205080304" pitchFamily="18" charset="-128"/>
          <a:ea typeface="ＭＳ Ｐ明朝" panose="02020600040205080304" pitchFamily="18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9.0250164275653771E-2"/>
                  <c:y val="-2.921871653398412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/>
                      </a:solidFill>
                      <a:latin typeface="ＭＳ Ｐ明朝" panose="02020600040205080304" pitchFamily="18" charset="-128"/>
                      <a:ea typeface="ＭＳ Ｐ明朝" panose="02020600040205080304" pitchFamily="18" charset="-128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'4.1 エミッタ接地 (a班)'!$C$54:$C$69</c:f>
              <c:numCache>
                <c:formatCode>General</c:formatCode>
                <c:ptCount val="16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0</c:v>
                </c:pt>
                <c:pt idx="5">
                  <c:v>20</c:v>
                </c:pt>
                <c:pt idx="6">
                  <c:v>40</c:v>
                </c:pt>
                <c:pt idx="7">
                  <c:v>60</c:v>
                </c:pt>
                <c:pt idx="8">
                  <c:v>0</c:v>
                </c:pt>
                <c:pt idx="9">
                  <c:v>20</c:v>
                </c:pt>
                <c:pt idx="10">
                  <c:v>40</c:v>
                </c:pt>
                <c:pt idx="11">
                  <c:v>60</c:v>
                </c:pt>
                <c:pt idx="12">
                  <c:v>0</c:v>
                </c:pt>
                <c:pt idx="13">
                  <c:v>20</c:v>
                </c:pt>
                <c:pt idx="14">
                  <c:v>40</c:v>
                </c:pt>
                <c:pt idx="15">
                  <c:v>60</c:v>
                </c:pt>
              </c:numCache>
            </c:numRef>
          </c:xVal>
          <c:yVal>
            <c:numRef>
              <c:f>'4.1 エミッタ接地 (a班)'!$E$54:$E$69</c:f>
              <c:numCache>
                <c:formatCode>General</c:formatCode>
                <c:ptCount val="16"/>
                <c:pt idx="0">
                  <c:v>9</c:v>
                </c:pt>
                <c:pt idx="1">
                  <c:v>0</c:v>
                </c:pt>
                <c:pt idx="2">
                  <c:v>6567</c:v>
                </c:pt>
                <c:pt idx="3">
                  <c:v>6678</c:v>
                </c:pt>
                <c:pt idx="4">
                  <c:v>9</c:v>
                </c:pt>
                <c:pt idx="5">
                  <c:v>0</c:v>
                </c:pt>
                <c:pt idx="6">
                  <c:v>6650</c:v>
                </c:pt>
                <c:pt idx="7">
                  <c:v>6740</c:v>
                </c:pt>
                <c:pt idx="8">
                  <c:v>9</c:v>
                </c:pt>
                <c:pt idx="9">
                  <c:v>0</c:v>
                </c:pt>
                <c:pt idx="10">
                  <c:v>6674</c:v>
                </c:pt>
                <c:pt idx="11">
                  <c:v>6632</c:v>
                </c:pt>
                <c:pt idx="12">
                  <c:v>9</c:v>
                </c:pt>
                <c:pt idx="13">
                  <c:v>0</c:v>
                </c:pt>
                <c:pt idx="14">
                  <c:v>6786</c:v>
                </c:pt>
                <c:pt idx="15">
                  <c:v>6829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6A-4543-A239-BB6AF5021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326688"/>
        <c:axId val="2076367840"/>
      </c:scatterChart>
      <c:valAx>
        <c:axId val="155326688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ＭＳ Ｐ明朝" panose="02020600040205080304" pitchFamily="18" charset="-128"/>
                    <a:ea typeface="ＭＳ Ｐ明朝" panose="02020600040205080304" pitchFamily="18" charset="-128"/>
                    <a:cs typeface="+mn-cs"/>
                  </a:defRPr>
                </a:pPr>
                <a:r>
                  <a:rPr lang="ja-JP"/>
                  <a:t>ベース電流 </a:t>
                </a:r>
                <a:r>
                  <a:rPr lang="en-US"/>
                  <a:t>Ib[</a:t>
                </a:r>
                <a:r>
                  <a:rPr lang="en-US" altLang="ja-JP"/>
                  <a:t>µ</a:t>
                </a:r>
                <a:r>
                  <a:rPr lang="en-US"/>
                  <a:t>A]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ＭＳ Ｐ明朝" panose="02020600040205080304" pitchFamily="18" charset="-128"/>
                  <a:ea typeface="ＭＳ Ｐ明朝" panose="02020600040205080304" pitchFamily="18" charset="-128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ＭＳ Ｐ明朝" panose="02020600040205080304" pitchFamily="18" charset="-128"/>
                <a:ea typeface="ＭＳ Ｐ明朝" panose="02020600040205080304" pitchFamily="18" charset="-128"/>
                <a:cs typeface="+mn-cs"/>
              </a:defRPr>
            </a:pPr>
            <a:endParaRPr lang="ja-JP"/>
          </a:p>
        </c:txPr>
        <c:crossAx val="2076367840"/>
        <c:crosses val="autoZero"/>
        <c:crossBetween val="midCat"/>
      </c:valAx>
      <c:valAx>
        <c:axId val="2076367840"/>
        <c:scaling>
          <c:orientation val="minMax"/>
          <c:max val="20000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ＭＳ Ｐ明朝" panose="02020600040205080304" pitchFamily="18" charset="-128"/>
                    <a:ea typeface="ＭＳ Ｐ明朝" panose="02020600040205080304" pitchFamily="18" charset="-128"/>
                    <a:cs typeface="+mn-cs"/>
                  </a:defRPr>
                </a:pPr>
                <a:r>
                  <a:rPr lang="ja-JP" altLang="en-US"/>
                  <a:t>コレクタ電流　 </a:t>
                </a:r>
                <a:r>
                  <a:rPr lang="en-US" altLang="ja-JP"/>
                  <a:t>Ic[µA]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ＭＳ Ｐ明朝" panose="02020600040205080304" pitchFamily="18" charset="-128"/>
                  <a:ea typeface="ＭＳ Ｐ明朝" panose="02020600040205080304" pitchFamily="18" charset="-128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ＭＳ Ｐ明朝" panose="02020600040205080304" pitchFamily="18" charset="-128"/>
                <a:ea typeface="ＭＳ Ｐ明朝" panose="02020600040205080304" pitchFamily="18" charset="-128"/>
                <a:cs typeface="+mn-cs"/>
              </a:defRPr>
            </a:pPr>
            <a:endParaRPr lang="ja-JP"/>
          </a:p>
        </c:txPr>
        <c:crossAx val="155326688"/>
        <c:crosses val="autoZero"/>
        <c:crossBetween val="midCat"/>
        <c:majorUnit val="5000"/>
        <c:minorUnit val="1000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ＭＳ Ｐ明朝" panose="02020600040205080304" pitchFamily="18" charset="-128"/>
          <a:ea typeface="ＭＳ Ｐ明朝" panose="02020600040205080304" pitchFamily="18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Vcb=4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xVal>
            <c:numRef>
              <c:f>'4.2 ベース接地 (b班)'!$G$16:$G$36</c:f>
              <c:numCache>
                <c:formatCode>General</c:formatCode>
                <c:ptCount val="21"/>
                <c:pt idx="0">
                  <c:v>1.7199999999999998E-4</c:v>
                </c:pt>
                <c:pt idx="2">
                  <c:v>0.4037</c:v>
                </c:pt>
                <c:pt idx="3">
                  <c:v>0.42599000000000004</c:v>
                </c:pt>
                <c:pt idx="4">
                  <c:v>0.45024999999999998</c:v>
                </c:pt>
                <c:pt idx="5">
                  <c:v>0.47533999999999998</c:v>
                </c:pt>
                <c:pt idx="6">
                  <c:v>0.50104000000000004</c:v>
                </c:pt>
                <c:pt idx="7">
                  <c:v>0.52511000000000008</c:v>
                </c:pt>
                <c:pt idx="8">
                  <c:v>0.55085000000000006</c:v>
                </c:pt>
                <c:pt idx="9">
                  <c:v>0.57540999999999998</c:v>
                </c:pt>
                <c:pt idx="10">
                  <c:v>0.60087000000000002</c:v>
                </c:pt>
                <c:pt idx="11">
                  <c:v>0.62624000000000002</c:v>
                </c:pt>
                <c:pt idx="12">
                  <c:v>0.65049999999999997</c:v>
                </c:pt>
                <c:pt idx="13">
                  <c:v>0.67664000000000002</c:v>
                </c:pt>
                <c:pt idx="14">
                  <c:v>0.70034000000000007</c:v>
                </c:pt>
                <c:pt idx="15">
                  <c:v>0.72655999999999998</c:v>
                </c:pt>
                <c:pt idx="16">
                  <c:v>0.74961</c:v>
                </c:pt>
                <c:pt idx="17">
                  <c:v>0.77405999999999997</c:v>
                </c:pt>
                <c:pt idx="18">
                  <c:v>0.80254999999999999</c:v>
                </c:pt>
              </c:numCache>
            </c:numRef>
          </c:xVal>
          <c:yVal>
            <c:numRef>
              <c:f>'4.2 ベース接地 (b班)'!$H$16:$H$36</c:f>
              <c:numCache>
                <c:formatCode>General</c:formatCode>
                <c:ptCount val="21"/>
                <c:pt idx="0">
                  <c:v>1.6E-2</c:v>
                </c:pt>
                <c:pt idx="2">
                  <c:v>1.7000000000000001E-2</c:v>
                </c:pt>
                <c:pt idx="3">
                  <c:v>1.7000000000000001E-2</c:v>
                </c:pt>
                <c:pt idx="4">
                  <c:v>1.9E-2</c:v>
                </c:pt>
                <c:pt idx="5">
                  <c:v>0.02</c:v>
                </c:pt>
                <c:pt idx="6">
                  <c:v>2.1999999999999999E-2</c:v>
                </c:pt>
                <c:pt idx="7">
                  <c:v>2.8000000000000001E-2</c:v>
                </c:pt>
                <c:pt idx="8">
                  <c:v>4.5999999999999999E-2</c:v>
                </c:pt>
                <c:pt idx="9">
                  <c:v>0.09</c:v>
                </c:pt>
                <c:pt idx="10">
                  <c:v>0.20499999999999999</c:v>
                </c:pt>
                <c:pt idx="11">
                  <c:v>0.51900000000000002</c:v>
                </c:pt>
                <c:pt idx="12">
                  <c:v>1.236</c:v>
                </c:pt>
                <c:pt idx="13">
                  <c:v>3.22</c:v>
                </c:pt>
                <c:pt idx="14">
                  <c:v>7.3239999999999998</c:v>
                </c:pt>
                <c:pt idx="15">
                  <c:v>21.443999999999999</c:v>
                </c:pt>
                <c:pt idx="16">
                  <c:v>31.934999999999999</c:v>
                </c:pt>
                <c:pt idx="17">
                  <c:v>65.055000000000007</c:v>
                </c:pt>
                <c:pt idx="18">
                  <c:v>76.709000000000003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19-A648-91D1-D4781B2C10F0}"/>
            </c:ext>
          </c:extLst>
        </c:ser>
        <c:ser>
          <c:idx val="0"/>
          <c:order val="1"/>
          <c:tx>
            <c:v>Vcb=2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'4.2 ベース接地 (b班)'!$E$16:$E$36</c:f>
              <c:numCache>
                <c:formatCode>General</c:formatCode>
                <c:ptCount val="21"/>
                <c:pt idx="0">
                  <c:v>4.0100000000000004E-4</c:v>
                </c:pt>
                <c:pt idx="2">
                  <c:v>0.40217000000000003</c:v>
                </c:pt>
                <c:pt idx="3">
                  <c:v>0.42712</c:v>
                </c:pt>
                <c:pt idx="4">
                  <c:v>0.44951000000000002</c:v>
                </c:pt>
                <c:pt idx="5">
                  <c:v>0.47688999999999998</c:v>
                </c:pt>
                <c:pt idx="6">
                  <c:v>0.50094000000000005</c:v>
                </c:pt>
                <c:pt idx="7">
                  <c:v>0.52528999999999992</c:v>
                </c:pt>
                <c:pt idx="8">
                  <c:v>0.55096000000000001</c:v>
                </c:pt>
                <c:pt idx="9">
                  <c:v>0.57467000000000001</c:v>
                </c:pt>
                <c:pt idx="10">
                  <c:v>0.60136000000000001</c:v>
                </c:pt>
                <c:pt idx="11">
                  <c:v>0.62514000000000003</c:v>
                </c:pt>
                <c:pt idx="12">
                  <c:v>0.65054000000000001</c:v>
                </c:pt>
                <c:pt idx="13">
                  <c:v>0.67482000000000009</c:v>
                </c:pt>
                <c:pt idx="14">
                  <c:v>0.70162999999999998</c:v>
                </c:pt>
                <c:pt idx="15">
                  <c:v>0.72601000000000004</c:v>
                </c:pt>
                <c:pt idx="16">
                  <c:v>0.75139</c:v>
                </c:pt>
                <c:pt idx="17">
                  <c:v>0.77554999999999996</c:v>
                </c:pt>
                <c:pt idx="18">
                  <c:v>0.80347000000000002</c:v>
                </c:pt>
              </c:numCache>
            </c:numRef>
          </c:xVal>
          <c:yVal>
            <c:numRef>
              <c:f>'4.2 ベース接地 (b班)'!$F$16:$F$36</c:f>
              <c:numCache>
                <c:formatCode>General</c:formatCode>
                <c:ptCount val="21"/>
                <c:pt idx="0">
                  <c:v>1.7999999999999999E-2</c:v>
                </c:pt>
                <c:pt idx="2">
                  <c:v>1.7999999999999999E-2</c:v>
                </c:pt>
                <c:pt idx="3">
                  <c:v>1.7999999999999999E-2</c:v>
                </c:pt>
                <c:pt idx="4">
                  <c:v>1.7000000000000001E-2</c:v>
                </c:pt>
                <c:pt idx="5">
                  <c:v>0.02</c:v>
                </c:pt>
                <c:pt idx="6">
                  <c:v>2.1000000000000001E-2</c:v>
                </c:pt>
                <c:pt idx="7">
                  <c:v>2.8000000000000001E-2</c:v>
                </c:pt>
                <c:pt idx="8">
                  <c:v>4.3999999999999997E-2</c:v>
                </c:pt>
                <c:pt idx="9">
                  <c:v>8.1000000000000003E-2</c:v>
                </c:pt>
                <c:pt idx="10">
                  <c:v>0.19400000000000001</c:v>
                </c:pt>
                <c:pt idx="11">
                  <c:v>0.45100000000000001</c:v>
                </c:pt>
                <c:pt idx="12">
                  <c:v>1.1499999999999999</c:v>
                </c:pt>
                <c:pt idx="13">
                  <c:v>2.76</c:v>
                </c:pt>
                <c:pt idx="14">
                  <c:v>8.59</c:v>
                </c:pt>
                <c:pt idx="15">
                  <c:v>14.771000000000001</c:v>
                </c:pt>
                <c:pt idx="16">
                  <c:v>29.542000000000002</c:v>
                </c:pt>
                <c:pt idx="17">
                  <c:v>46.372</c:v>
                </c:pt>
                <c:pt idx="18">
                  <c:v>67.081999999999994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19-A648-91D1-D4781B2C10F0}"/>
            </c:ext>
          </c:extLst>
        </c:ser>
        <c:ser>
          <c:idx val="1"/>
          <c:order val="2"/>
          <c:tx>
            <c:v>Vcb=0</c:v>
          </c:tx>
          <c:spPr>
            <a:ln w="19050">
              <a:noFill/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'4.2 ベース接地 (b班)'!$C$16:$C$36</c:f>
              <c:numCache>
                <c:formatCode>General</c:formatCode>
                <c:ptCount val="21"/>
                <c:pt idx="0">
                  <c:v>5.0600000000000005E-4</c:v>
                </c:pt>
                <c:pt idx="2">
                  <c:v>0.40456000000000003</c:v>
                </c:pt>
                <c:pt idx="3">
                  <c:v>0.42442000000000002</c:v>
                </c:pt>
                <c:pt idx="4">
                  <c:v>0.45066000000000006</c:v>
                </c:pt>
                <c:pt idx="5">
                  <c:v>0.47517000000000004</c:v>
                </c:pt>
                <c:pt idx="6">
                  <c:v>0.50092000000000003</c:v>
                </c:pt>
                <c:pt idx="7">
                  <c:v>0.52495000000000003</c:v>
                </c:pt>
                <c:pt idx="8">
                  <c:v>0.55074000000000001</c:v>
                </c:pt>
                <c:pt idx="9">
                  <c:v>0.57516</c:v>
                </c:pt>
                <c:pt idx="10">
                  <c:v>0.60074000000000005</c:v>
                </c:pt>
                <c:pt idx="11">
                  <c:v>0.62539</c:v>
                </c:pt>
                <c:pt idx="12">
                  <c:v>0.65024999999999999</c:v>
                </c:pt>
                <c:pt idx="13">
                  <c:v>0.67497000000000007</c:v>
                </c:pt>
                <c:pt idx="14">
                  <c:v>0.69991999999999999</c:v>
                </c:pt>
                <c:pt idx="15">
                  <c:v>0.72421000000000002</c:v>
                </c:pt>
                <c:pt idx="16">
                  <c:v>0.75126000000000004</c:v>
                </c:pt>
                <c:pt idx="17">
                  <c:v>0.77479999999999993</c:v>
                </c:pt>
                <c:pt idx="18">
                  <c:v>0.79967999999999995</c:v>
                </c:pt>
              </c:numCache>
            </c:numRef>
          </c:xVal>
          <c:yVal>
            <c:numRef>
              <c:f>'4.2 ベース接地 (b班)'!$D$16:$D$36</c:f>
              <c:numCache>
                <c:formatCode>General</c:formatCode>
                <c:ptCount val="21"/>
                <c:pt idx="0">
                  <c:v>1.4999999999999999E-2</c:v>
                </c:pt>
                <c:pt idx="2">
                  <c:v>1.4999999999999999E-2</c:v>
                </c:pt>
                <c:pt idx="3">
                  <c:v>1.6E-2</c:v>
                </c:pt>
                <c:pt idx="4">
                  <c:v>1.6E-2</c:v>
                </c:pt>
                <c:pt idx="5">
                  <c:v>1.7000000000000001E-2</c:v>
                </c:pt>
                <c:pt idx="6">
                  <c:v>1.9E-2</c:v>
                </c:pt>
                <c:pt idx="7">
                  <c:v>2.4E-2</c:v>
                </c:pt>
                <c:pt idx="8">
                  <c:v>3.9E-2</c:v>
                </c:pt>
                <c:pt idx="9">
                  <c:v>7.4999999999999997E-2</c:v>
                </c:pt>
                <c:pt idx="10">
                  <c:v>0.17499999999999999</c:v>
                </c:pt>
                <c:pt idx="11">
                  <c:v>0.42499999999999999</c:v>
                </c:pt>
                <c:pt idx="12">
                  <c:v>1.0629999999999999</c:v>
                </c:pt>
                <c:pt idx="13">
                  <c:v>2.3639999999999999</c:v>
                </c:pt>
                <c:pt idx="14">
                  <c:v>8.5879999999999992</c:v>
                </c:pt>
                <c:pt idx="15">
                  <c:v>14.375999999999999</c:v>
                </c:pt>
                <c:pt idx="16">
                  <c:v>23.966999999999999</c:v>
                </c:pt>
                <c:pt idx="17">
                  <c:v>33.35</c:v>
                </c:pt>
                <c:pt idx="18">
                  <c:v>45.158000000000001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19-A648-91D1-D4781B2C1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9255903"/>
        <c:axId val="636290703"/>
      </c:scatterChart>
      <c:valAx>
        <c:axId val="759255903"/>
        <c:scaling>
          <c:orientation val="minMax"/>
          <c:max val="0.9"/>
          <c:min val="-0.1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エミッタ－ベース間電圧　 </a:t>
                </a:r>
                <a:r>
                  <a:rPr lang="en-US" altLang="ja-JP"/>
                  <a:t>Veb[V]</a:t>
                </a:r>
                <a:endParaRPr lang="en-US"/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636290703"/>
        <c:crossesAt val="-100"/>
        <c:crossBetween val="midCat"/>
        <c:majorUnit val="0.1"/>
        <c:minorUnit val="2.5000000000000005E-2"/>
      </c:valAx>
      <c:valAx>
        <c:axId val="636290703"/>
        <c:scaling>
          <c:orientation val="minMax"/>
          <c:max val="80"/>
          <c:min val="-2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エミッタ電流　 </a:t>
                </a:r>
                <a:r>
                  <a:rPr lang="en-US" altLang="ja-JP"/>
                  <a:t>Ie[mA]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759255903"/>
        <c:crossesAt val="-100"/>
        <c:crossBetween val="midCat"/>
        <c:majorUnit val="20"/>
        <c:minorUnit val="5"/>
      </c:valAx>
      <c:spPr>
        <a:ln>
          <a:solidFill>
            <a:schemeClr val="tx1"/>
          </a:solidFill>
        </a:ln>
      </c:spPr>
    </c:plotArea>
    <c:legend>
      <c:legendPos val="r"/>
      <c:overlay val="0"/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 sz="1050" b="0">
          <a:latin typeface="ＭＳ Ｐ明朝" panose="02020600040205080304" pitchFamily="18" charset="-128"/>
          <a:ea typeface="ＭＳ Ｐ明朝" panose="02020600040205080304" pitchFamily="18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6959459020706171E-2"/>
                  <c:y val="-1.87549051536002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/>
                      </a:solidFill>
                      <a:latin typeface="ＭＳ Ｐ明朝" panose="02020600040205080304" pitchFamily="18" charset="-128"/>
                      <a:ea typeface="ＭＳ Ｐ明朝" panose="02020600040205080304" pitchFamily="18" charset="-128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'4.2 ベース接地 (b班)'!$C$43:$C$60</c:f>
              <c:numCache>
                <c:formatCode>General</c:formatCode>
                <c:ptCount val="18"/>
                <c:pt idx="0">
                  <c:v>2.1070000000000002</c:v>
                </c:pt>
                <c:pt idx="1">
                  <c:v>2.1840000000000002</c:v>
                </c:pt>
                <c:pt idx="2">
                  <c:v>2.1589999999999998</c:v>
                </c:pt>
                <c:pt idx="3">
                  <c:v>2.181</c:v>
                </c:pt>
                <c:pt idx="4">
                  <c:v>2.202</c:v>
                </c:pt>
                <c:pt idx="5">
                  <c:v>2.222</c:v>
                </c:pt>
                <c:pt idx="6">
                  <c:v>3.968</c:v>
                </c:pt>
                <c:pt idx="7">
                  <c:v>3.964</c:v>
                </c:pt>
                <c:pt idx="8">
                  <c:v>3.9420000000000002</c:v>
                </c:pt>
                <c:pt idx="9">
                  <c:v>3.9609999999999999</c:v>
                </c:pt>
                <c:pt idx="10">
                  <c:v>3.9540000000000002</c:v>
                </c:pt>
                <c:pt idx="11">
                  <c:v>3.9390000000000001</c:v>
                </c:pt>
                <c:pt idx="12">
                  <c:v>5.9370000000000003</c:v>
                </c:pt>
                <c:pt idx="13">
                  <c:v>5.9089999999999998</c:v>
                </c:pt>
                <c:pt idx="14">
                  <c:v>5.8780000000000001</c:v>
                </c:pt>
                <c:pt idx="15">
                  <c:v>5.8789999999999996</c:v>
                </c:pt>
                <c:pt idx="16">
                  <c:v>5.91</c:v>
                </c:pt>
                <c:pt idx="17">
                  <c:v>5.8520000000000003</c:v>
                </c:pt>
              </c:numCache>
            </c:numRef>
          </c:xVal>
          <c:yVal>
            <c:numRef>
              <c:f>'4.2 ベース接地 (b班)'!$D$43:$D$60</c:f>
              <c:numCache>
                <c:formatCode>General</c:formatCode>
                <c:ptCount val="18"/>
                <c:pt idx="0">
                  <c:v>2.1349999999999998</c:v>
                </c:pt>
                <c:pt idx="1">
                  <c:v>2.1309999999999998</c:v>
                </c:pt>
                <c:pt idx="2">
                  <c:v>2.16</c:v>
                </c:pt>
                <c:pt idx="3">
                  <c:v>2.1640000000000001</c:v>
                </c:pt>
                <c:pt idx="4">
                  <c:v>2.2000000000000002</c:v>
                </c:pt>
                <c:pt idx="5">
                  <c:v>2.1920000000000002</c:v>
                </c:pt>
                <c:pt idx="6">
                  <c:v>3.9489999999999998</c:v>
                </c:pt>
                <c:pt idx="7">
                  <c:v>3.956</c:v>
                </c:pt>
                <c:pt idx="8">
                  <c:v>3.9510000000000001</c:v>
                </c:pt>
                <c:pt idx="9">
                  <c:v>3.9449999999999998</c:v>
                </c:pt>
                <c:pt idx="10">
                  <c:v>3.9430000000000001</c:v>
                </c:pt>
                <c:pt idx="11">
                  <c:v>3.931</c:v>
                </c:pt>
                <c:pt idx="12">
                  <c:v>5.8650000000000002</c:v>
                </c:pt>
                <c:pt idx="13">
                  <c:v>5.87</c:v>
                </c:pt>
                <c:pt idx="14">
                  <c:v>5.8570000000000002</c:v>
                </c:pt>
                <c:pt idx="15">
                  <c:v>5.867</c:v>
                </c:pt>
                <c:pt idx="16">
                  <c:v>5.8789999999999996</c:v>
                </c:pt>
                <c:pt idx="17">
                  <c:v>5.8390000000000004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E9-C94F-A1BE-B1CB3613E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110911"/>
        <c:axId val="767425263"/>
      </c:scatterChart>
      <c:valAx>
        <c:axId val="320110911"/>
        <c:scaling>
          <c:orientation val="minMax"/>
          <c:max val="8"/>
          <c:min val="0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ＭＳ Ｐ明朝" panose="02020600040205080304" pitchFamily="18" charset="-128"/>
                    <a:ea typeface="ＭＳ Ｐ明朝" panose="02020600040205080304" pitchFamily="18" charset="-128"/>
                    <a:cs typeface="+mn-cs"/>
                  </a:defRPr>
                </a:pPr>
                <a:r>
                  <a:rPr lang="ja-JP" altLang="en-US"/>
                  <a:t>エミッタ電流　 </a:t>
                </a:r>
                <a:r>
                  <a:rPr lang="en-US" altLang="ja-JP"/>
                  <a:t>Ie[mA]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ＭＳ Ｐ明朝" panose="02020600040205080304" pitchFamily="18" charset="-128"/>
                  <a:ea typeface="ＭＳ Ｐ明朝" panose="02020600040205080304" pitchFamily="18" charset="-128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ＭＳ Ｐ明朝" panose="02020600040205080304" pitchFamily="18" charset="-128"/>
                <a:ea typeface="ＭＳ Ｐ明朝" panose="02020600040205080304" pitchFamily="18" charset="-128"/>
                <a:cs typeface="+mn-cs"/>
              </a:defRPr>
            </a:pPr>
            <a:endParaRPr lang="ja-JP"/>
          </a:p>
        </c:txPr>
        <c:crossAx val="767425263"/>
        <c:crossesAt val="0"/>
        <c:crossBetween val="midCat"/>
        <c:majorUnit val="1"/>
        <c:minorUnit val="0.2"/>
      </c:valAx>
      <c:valAx>
        <c:axId val="767425263"/>
        <c:scaling>
          <c:orientation val="minMax"/>
          <c:max val="8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ＭＳ Ｐ明朝" panose="02020600040205080304" pitchFamily="18" charset="-128"/>
                    <a:ea typeface="ＭＳ Ｐ明朝" panose="02020600040205080304" pitchFamily="18" charset="-128"/>
                    <a:cs typeface="+mn-cs"/>
                  </a:defRPr>
                </a:pPr>
                <a:r>
                  <a:rPr lang="ja-JP" altLang="en-US"/>
                  <a:t>コレクタ電流　 </a:t>
                </a:r>
                <a:r>
                  <a:rPr lang="en-US" altLang="ja-JP"/>
                  <a:t>Ic[mA]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ＭＳ Ｐ明朝" panose="02020600040205080304" pitchFamily="18" charset="-128"/>
                  <a:ea typeface="ＭＳ Ｐ明朝" panose="02020600040205080304" pitchFamily="18" charset="-128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ＭＳ Ｐ明朝" panose="02020600040205080304" pitchFamily="18" charset="-128"/>
                <a:ea typeface="ＭＳ Ｐ明朝" panose="02020600040205080304" pitchFamily="18" charset="-128"/>
                <a:cs typeface="+mn-cs"/>
              </a:defRPr>
            </a:pPr>
            <a:endParaRPr lang="ja-JP"/>
          </a:p>
        </c:txPr>
        <c:crossAx val="320110911"/>
        <c:crossesAt val="0"/>
        <c:crossBetween val="midCat"/>
        <c:majorUnit val="1"/>
        <c:minorUnit val="0.2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050">
          <a:solidFill>
            <a:schemeClr val="tx1"/>
          </a:solidFill>
          <a:latin typeface="ＭＳ Ｐ明朝" panose="02020600040205080304" pitchFamily="18" charset="-128"/>
          <a:ea typeface="ＭＳ Ｐ明朝" panose="02020600040205080304" pitchFamily="18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Ie≒6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'4.2 ベース接地 (b班)'!$L$5:$L$10</c:f>
              <c:numCache>
                <c:formatCode>General</c:formatCode>
                <c:ptCount val="6"/>
                <c:pt idx="0">
                  <c:v>2.8E-3</c:v>
                </c:pt>
                <c:pt idx="1">
                  <c:v>0.1048</c:v>
                </c:pt>
                <c:pt idx="2">
                  <c:v>0.20030000000000001</c:v>
                </c:pt>
                <c:pt idx="3">
                  <c:v>0.29649999999999999</c:v>
                </c:pt>
                <c:pt idx="4">
                  <c:v>0.40600000000000003</c:v>
                </c:pt>
                <c:pt idx="5">
                  <c:v>0.496</c:v>
                </c:pt>
              </c:numCache>
            </c:numRef>
          </c:xVal>
          <c:yVal>
            <c:numRef>
              <c:f>'4.2 ベース接地 (b班)'!$N$5:$N$10</c:f>
              <c:numCache>
                <c:formatCode>General</c:formatCode>
                <c:ptCount val="6"/>
                <c:pt idx="0">
                  <c:v>5.8650000000000002</c:v>
                </c:pt>
                <c:pt idx="1">
                  <c:v>5.87</c:v>
                </c:pt>
                <c:pt idx="2">
                  <c:v>5.8570000000000002</c:v>
                </c:pt>
                <c:pt idx="3">
                  <c:v>5.867</c:v>
                </c:pt>
                <c:pt idx="4">
                  <c:v>5.8789999999999996</c:v>
                </c:pt>
                <c:pt idx="5">
                  <c:v>5.8390000000000004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5C-8845-B206-251BA42BF373}"/>
            </c:ext>
          </c:extLst>
        </c:ser>
        <c:ser>
          <c:idx val="3"/>
          <c:order val="1"/>
          <c:tx>
            <c:v>Ie≒4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xVal>
            <c:numRef>
              <c:f>'4.2 ベース接地 (b班)'!$I$5:$I$10</c:f>
              <c:numCache>
                <c:formatCode>General</c:formatCode>
                <c:ptCount val="6"/>
                <c:pt idx="0">
                  <c:v>2.8999999999999998E-3</c:v>
                </c:pt>
                <c:pt idx="1">
                  <c:v>0.1048</c:v>
                </c:pt>
                <c:pt idx="2">
                  <c:v>0.2097</c:v>
                </c:pt>
                <c:pt idx="3">
                  <c:v>0.29659999999999997</c:v>
                </c:pt>
                <c:pt idx="4">
                  <c:v>0.40620000000000001</c:v>
                </c:pt>
                <c:pt idx="5">
                  <c:v>0.50770000000000004</c:v>
                </c:pt>
              </c:numCache>
            </c:numRef>
          </c:xVal>
          <c:yVal>
            <c:numRef>
              <c:f>'4.2 ベース接地 (b班)'!$K$5:$K$10</c:f>
              <c:numCache>
                <c:formatCode>General</c:formatCode>
                <c:ptCount val="6"/>
                <c:pt idx="0">
                  <c:v>3.9489999999999998</c:v>
                </c:pt>
                <c:pt idx="1">
                  <c:v>3.956</c:v>
                </c:pt>
                <c:pt idx="2">
                  <c:v>3.9510000000000001</c:v>
                </c:pt>
                <c:pt idx="3">
                  <c:v>3.9449999999999998</c:v>
                </c:pt>
                <c:pt idx="4">
                  <c:v>3.9430000000000001</c:v>
                </c:pt>
                <c:pt idx="5">
                  <c:v>3.931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5C-8845-B206-251BA42BF373}"/>
            </c:ext>
          </c:extLst>
        </c:ser>
        <c:ser>
          <c:idx val="2"/>
          <c:order val="2"/>
          <c:tx>
            <c:v>Ie≒2</c:v>
          </c:tx>
          <c:spPr>
            <a:ln w="19050" cap="rnd">
              <a:noFill/>
              <a:round/>
            </a:ln>
            <a:effectLst/>
          </c:spPr>
          <c:xVal>
            <c:numRef>
              <c:f>'4.2 ベース接地 (b班)'!$F$5:$F$10</c:f>
              <c:numCache>
                <c:formatCode>General</c:formatCode>
                <c:ptCount val="6"/>
                <c:pt idx="0">
                  <c:v>3.0000000000000001E-3</c:v>
                </c:pt>
                <c:pt idx="1">
                  <c:v>0.1046</c:v>
                </c:pt>
                <c:pt idx="2">
                  <c:v>0.2094</c:v>
                </c:pt>
                <c:pt idx="3">
                  <c:v>0.29680000000000001</c:v>
                </c:pt>
                <c:pt idx="4">
                  <c:v>0.40710000000000002</c:v>
                </c:pt>
                <c:pt idx="5">
                  <c:v>0.50460000000000005</c:v>
                </c:pt>
              </c:numCache>
            </c:numRef>
          </c:xVal>
          <c:yVal>
            <c:numRef>
              <c:f>'4.2 ベース接地 (b班)'!$H$5:$H$10</c:f>
              <c:numCache>
                <c:formatCode>General</c:formatCode>
                <c:ptCount val="6"/>
                <c:pt idx="0">
                  <c:v>2.1349999999999998</c:v>
                </c:pt>
                <c:pt idx="1">
                  <c:v>2.1309999999999998</c:v>
                </c:pt>
                <c:pt idx="2">
                  <c:v>2.16</c:v>
                </c:pt>
                <c:pt idx="3">
                  <c:v>2.1640000000000001</c:v>
                </c:pt>
                <c:pt idx="4">
                  <c:v>2.2000000000000002</c:v>
                </c:pt>
                <c:pt idx="5">
                  <c:v>2.1920000000000002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5C-8845-B206-251BA42BF373}"/>
            </c:ext>
          </c:extLst>
        </c:ser>
        <c:ser>
          <c:idx val="1"/>
          <c:order val="3"/>
          <c:tx>
            <c:v>Ie≒0</c:v>
          </c:tx>
          <c:spPr>
            <a:ln w="19050">
              <a:noFill/>
            </a:ln>
          </c:spPr>
          <c:xVal>
            <c:numRef>
              <c:f>'4.2 ベース接地 (b班)'!$C$5:$C$10</c:f>
              <c:numCache>
                <c:formatCode>General</c:formatCode>
                <c:ptCount val="6"/>
                <c:pt idx="0">
                  <c:v>3.0999999999999999E-3</c:v>
                </c:pt>
                <c:pt idx="1">
                  <c:v>0.1066</c:v>
                </c:pt>
                <c:pt idx="2">
                  <c:v>0.20519999999999999</c:v>
                </c:pt>
                <c:pt idx="3">
                  <c:v>0.29680000000000001</c:v>
                </c:pt>
                <c:pt idx="4">
                  <c:v>0.40610000000000002</c:v>
                </c:pt>
                <c:pt idx="5">
                  <c:v>0.499</c:v>
                </c:pt>
              </c:numCache>
            </c:numRef>
          </c:xVal>
          <c:yVal>
            <c:numRef>
              <c:f>'4.2 ベース接地 (b班)'!$E$5:$E$10</c:f>
              <c:numCache>
                <c:formatCode>General</c:formatCode>
                <c:ptCount val="6"/>
                <c:pt idx="0">
                  <c:v>0.01</c:v>
                </c:pt>
                <c:pt idx="1">
                  <c:v>0.01</c:v>
                </c:pt>
                <c:pt idx="2">
                  <c:v>1.0999999999999999E-2</c:v>
                </c:pt>
                <c:pt idx="3">
                  <c:v>1.0999999999999999E-2</c:v>
                </c:pt>
                <c:pt idx="4">
                  <c:v>1.0999999999999999E-2</c:v>
                </c:pt>
                <c:pt idx="5">
                  <c:v>1.0999999999999999E-2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5C-8845-B206-251BA42BF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9337391"/>
        <c:axId val="636292143"/>
      </c:scatterChart>
      <c:valAx>
        <c:axId val="689337391"/>
        <c:scaling>
          <c:orientation val="minMax"/>
          <c:max val="0.60000000000000009"/>
          <c:min val="-0.1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コレクタ－ベース間電圧 　</a:t>
                </a:r>
                <a:r>
                  <a:rPr lang="en-US" altLang="ja-JP"/>
                  <a:t>Vcb[V]</a:t>
                </a:r>
                <a:endParaRPr lang="en-US"/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636292143"/>
        <c:crossesAt val="-100"/>
        <c:crossBetween val="midCat"/>
        <c:majorUnit val="0.1"/>
        <c:minorUnit val="2.0000000000000004E-2"/>
      </c:valAx>
      <c:valAx>
        <c:axId val="636292143"/>
        <c:scaling>
          <c:orientation val="minMax"/>
          <c:max val="7"/>
          <c:min val="-1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コレクタ電流　 </a:t>
                </a:r>
                <a:r>
                  <a:rPr lang="en-US" altLang="ja-JP"/>
                  <a:t>Ic[mA]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689337391"/>
        <c:crossesAt val="-100"/>
        <c:crossBetween val="midCat"/>
        <c:majorUnit val="1"/>
        <c:minorUnit val="0.2"/>
      </c:valAx>
      <c:spPr>
        <a:ln>
          <a:solidFill>
            <a:schemeClr val="tx1"/>
          </a:solidFill>
        </a:ln>
      </c:spPr>
    </c:plotArea>
    <c:legend>
      <c:legendPos val="r"/>
      <c:overlay val="0"/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 sz="1050" b="0">
          <a:solidFill>
            <a:schemeClr val="tx1"/>
          </a:solidFill>
          <a:latin typeface="ＭＳ Ｐ明朝" panose="02020600040205080304" pitchFamily="18" charset="-128"/>
          <a:ea typeface="ＭＳ Ｐ明朝" panose="02020600040205080304" pitchFamily="18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26</xdr:row>
      <xdr:rowOff>1904</xdr:rowOff>
    </xdr:from>
    <xdr:to>
      <xdr:col>17</xdr:col>
      <xdr:colOff>368850</xdr:colOff>
      <xdr:row>40</xdr:row>
      <xdr:rowOff>20549</xdr:rowOff>
    </xdr:to>
    <xdr:graphicFrame macro="">
      <xdr:nvGraphicFramePr>
        <xdr:cNvPr id="20" name="グラフ 1">
          <a:extLst>
            <a:ext uri="{FF2B5EF4-FFF2-40B4-BE49-F238E27FC236}">
              <a16:creationId xmlns:a16="http://schemas.microsoft.com/office/drawing/2014/main" id="{5460E23C-79CA-4140-8C66-570A756BC4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156695</xdr:colOff>
      <xdr:row>1</xdr:row>
      <xdr:rowOff>222810</xdr:rowOff>
    </xdr:from>
    <xdr:to>
      <xdr:col>22</xdr:col>
      <xdr:colOff>56953</xdr:colOff>
      <xdr:row>15</xdr:row>
      <xdr:rowOff>209369</xdr:rowOff>
    </xdr:to>
    <xdr:graphicFrame macro="">
      <xdr:nvGraphicFramePr>
        <xdr:cNvPr id="13" name="グラフ 2">
          <a:extLst>
            <a:ext uri="{FF2B5EF4-FFF2-40B4-BE49-F238E27FC236}">
              <a16:creationId xmlns:a16="http://schemas.microsoft.com/office/drawing/2014/main" id="{053A4C9B-8970-2E4C-8BFA-17EF1F543866}"/>
            </a:ext>
            <a:ext uri="{147F2762-F138-4A5C-976F-8EAC2B608ADB}">
              <a16:predDERef xmlns:a16="http://schemas.microsoft.com/office/drawing/2014/main" pred="{5460E23C-79CA-4140-8C66-570A756BC4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50</xdr:row>
      <xdr:rowOff>0</xdr:rowOff>
    </xdr:from>
    <xdr:to>
      <xdr:col>14</xdr:col>
      <xdr:colOff>305201</xdr:colOff>
      <xdr:row>63</xdr:row>
      <xdr:rowOff>226290</xdr:rowOff>
    </xdr:to>
    <xdr:graphicFrame macro="">
      <xdr:nvGraphicFramePr>
        <xdr:cNvPr id="21" name="グラフ 3">
          <a:extLst>
            <a:ext uri="{FF2B5EF4-FFF2-40B4-BE49-F238E27FC236}">
              <a16:creationId xmlns:a16="http://schemas.microsoft.com/office/drawing/2014/main" id="{37E417C4-D4B2-204F-BA41-8EEDBF4B2280}"/>
            </a:ext>
            <a:ext uri="{147F2762-F138-4A5C-976F-8EAC2B608ADB}">
              <a16:predDERef xmlns:a16="http://schemas.microsoft.com/office/drawing/2014/main" pred="{053A4C9B-8970-2E4C-8BFA-17EF1F5438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29590</xdr:colOff>
      <xdr:row>18</xdr:row>
      <xdr:rowOff>65780</xdr:rowOff>
    </xdr:from>
    <xdr:to>
      <xdr:col>23</xdr:col>
      <xdr:colOff>308121</xdr:colOff>
      <xdr:row>32</xdr:row>
      <xdr:rowOff>160513</xdr:rowOff>
    </xdr:to>
    <xdr:graphicFrame macro="">
      <xdr:nvGraphicFramePr>
        <xdr:cNvPr id="7" name="グラフ 3">
          <a:extLst>
            <a:ext uri="{FF2B5EF4-FFF2-40B4-BE49-F238E27FC236}">
              <a16:creationId xmlns:a16="http://schemas.microsoft.com/office/drawing/2014/main" id="{4F681A5E-2E4C-EB42-A1AB-102C047E1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40</xdr:row>
      <xdr:rowOff>240195</xdr:rowOff>
    </xdr:from>
    <xdr:to>
      <xdr:col>13</xdr:col>
      <xdr:colOff>362058</xdr:colOff>
      <xdr:row>55</xdr:row>
      <xdr:rowOff>82958</xdr:rowOff>
    </xdr:to>
    <xdr:graphicFrame macro="">
      <xdr:nvGraphicFramePr>
        <xdr:cNvPr id="9" name="グラフ 1">
          <a:extLst>
            <a:ext uri="{FF2B5EF4-FFF2-40B4-BE49-F238E27FC236}">
              <a16:creationId xmlns:a16="http://schemas.microsoft.com/office/drawing/2014/main" id="{EE4FDE73-646B-7449-958E-78503A2FF17D}"/>
            </a:ext>
            <a:ext uri="{147F2762-F138-4A5C-976F-8EAC2B608ADB}">
              <a16:predDERef xmlns:a16="http://schemas.microsoft.com/office/drawing/2014/main" pred="{4F681A5E-2E4C-EB42-A1AB-102C047E1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69273</xdr:colOff>
      <xdr:row>0</xdr:row>
      <xdr:rowOff>0</xdr:rowOff>
    </xdr:from>
    <xdr:to>
      <xdr:col>23</xdr:col>
      <xdr:colOff>357216</xdr:colOff>
      <xdr:row>14</xdr:row>
      <xdr:rowOff>20403</xdr:rowOff>
    </xdr:to>
    <xdr:graphicFrame macro="">
      <xdr:nvGraphicFramePr>
        <xdr:cNvPr id="5" name="グラフ 2">
          <a:extLst>
            <a:ext uri="{FF2B5EF4-FFF2-40B4-BE49-F238E27FC236}">
              <a16:creationId xmlns:a16="http://schemas.microsoft.com/office/drawing/2014/main" id="{AFD64CDB-B58F-C64E-995F-9344E9A2C6DF}"/>
            </a:ext>
            <a:ext uri="{147F2762-F138-4A5C-976F-8EAC2B608ADB}">
              <a16:predDERef xmlns:a16="http://schemas.microsoft.com/office/drawing/2014/main" pred="{EE4FDE73-646B-7449-958E-78503A2FF1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A33DE-F791-BC4B-958E-3854C9576C56}">
  <dimension ref="B1:X82"/>
  <sheetViews>
    <sheetView topLeftCell="A24" zoomScale="62" zoomScaleNormal="62" workbookViewId="0">
      <selection activeCell="B53" sqref="B53:E69"/>
    </sheetView>
  </sheetViews>
  <sheetFormatPr baseColWidth="10" defaultColWidth="8.83203125" defaultRowHeight="18"/>
  <cols>
    <col min="1" max="1" width="4" style="2" customWidth="1"/>
    <col min="2" max="2" width="15.83203125" style="2" customWidth="1"/>
    <col min="3" max="10" width="9" style="2" customWidth="1"/>
    <col min="11" max="11" width="6.6640625" style="2" customWidth="1"/>
    <col min="12" max="12" width="11.33203125" style="2" customWidth="1"/>
    <col min="13" max="18" width="8.83203125" style="2"/>
    <col min="19" max="19" width="6.6640625" style="2" customWidth="1"/>
    <col min="20" max="16384" width="8.83203125" style="2"/>
  </cols>
  <sheetData>
    <row r="1" spans="2:24" ht="17.5" customHeight="1">
      <c r="D1" s="116">
        <v>10</v>
      </c>
      <c r="F1" s="116" t="s">
        <v>46</v>
      </c>
      <c r="H1" s="116">
        <v>47</v>
      </c>
      <c r="J1" s="116">
        <v>58</v>
      </c>
      <c r="K1" s="2" t="s">
        <v>55</v>
      </c>
    </row>
    <row r="2" spans="2:24" ht="19" thickBot="1">
      <c r="B2" s="2" t="s">
        <v>0</v>
      </c>
      <c r="D2" s="110" t="s">
        <v>44</v>
      </c>
      <c r="F2" s="110" t="s">
        <v>47</v>
      </c>
      <c r="H2" s="110" t="s">
        <v>45</v>
      </c>
      <c r="J2" s="110">
        <v>62</v>
      </c>
      <c r="K2" s="2" t="s">
        <v>54</v>
      </c>
    </row>
    <row r="3" spans="2:24" ht="18.5" customHeight="1" thickTop="1">
      <c r="B3" s="61" t="s">
        <v>59</v>
      </c>
      <c r="C3" s="6" t="s">
        <v>1</v>
      </c>
      <c r="D3" s="111" t="s">
        <v>43</v>
      </c>
      <c r="E3" s="9" t="s">
        <v>2</v>
      </c>
      <c r="F3" s="112" t="s">
        <v>40</v>
      </c>
      <c r="G3" s="9" t="s">
        <v>3</v>
      </c>
      <c r="H3" s="112" t="s">
        <v>41</v>
      </c>
      <c r="I3" s="6" t="s">
        <v>4</v>
      </c>
      <c r="J3" s="113" t="s">
        <v>42</v>
      </c>
      <c r="K3" s="2" t="s">
        <v>53</v>
      </c>
    </row>
    <row r="4" spans="2:24" ht="19.25" customHeight="1" thickBot="1">
      <c r="B4" s="62" t="s">
        <v>5</v>
      </c>
      <c r="C4" s="101" t="s">
        <v>6</v>
      </c>
      <c r="D4" s="102" t="s">
        <v>7</v>
      </c>
      <c r="E4" s="103" t="s">
        <v>6</v>
      </c>
      <c r="F4" s="104" t="s">
        <v>7</v>
      </c>
      <c r="G4" s="103" t="s">
        <v>6</v>
      </c>
      <c r="H4" s="104" t="s">
        <v>7</v>
      </c>
      <c r="I4" s="101" t="s">
        <v>6</v>
      </c>
      <c r="J4" s="105" t="s">
        <v>7</v>
      </c>
    </row>
    <row r="5" spans="2:24">
      <c r="B5" s="108">
        <v>1.2999999999999999E-3</v>
      </c>
      <c r="C5" s="63">
        <v>1.4E-3</v>
      </c>
      <c r="D5" s="64">
        <v>6.0000000000000001E-3</v>
      </c>
      <c r="E5" s="65">
        <v>7.9000000000000008E-3</v>
      </c>
      <c r="F5" s="66">
        <v>2E-3</v>
      </c>
      <c r="G5" s="65">
        <v>1.01E-3</v>
      </c>
      <c r="H5" s="66">
        <v>0</v>
      </c>
      <c r="I5" s="63">
        <v>1.03E-2</v>
      </c>
      <c r="J5" s="67">
        <v>0</v>
      </c>
    </row>
    <row r="6" spans="2:24" ht="18.75" customHeight="1">
      <c r="B6" s="109">
        <v>5.0200000000000002E-2</v>
      </c>
      <c r="C6" s="68">
        <v>4.9299999999999997E-2</v>
      </c>
      <c r="D6" s="69">
        <v>7.0000000000000001E-3</v>
      </c>
      <c r="E6" s="70">
        <v>4.9200000000000001E-2</v>
      </c>
      <c r="F6" s="71">
        <v>0.09</v>
      </c>
      <c r="G6" s="70">
        <v>4.9099999999999998E-2</v>
      </c>
      <c r="H6" s="71">
        <v>0.26200000000000001</v>
      </c>
      <c r="I6" s="68">
        <v>4.8899999999999999E-2</v>
      </c>
      <c r="J6" s="72">
        <v>0.45600000000000002</v>
      </c>
    </row>
    <row r="7" spans="2:24">
      <c r="B7" s="109">
        <v>0.104</v>
      </c>
      <c r="C7" s="68">
        <v>9.6500000000000002E-2</v>
      </c>
      <c r="D7" s="69">
        <v>7.0000000000000001E-3</v>
      </c>
      <c r="E7" s="70">
        <v>9.5100000000000004E-2</v>
      </c>
      <c r="F7" s="71">
        <v>0.46800000000000003</v>
      </c>
      <c r="G7" s="70">
        <v>9.5299999999999996E-2</v>
      </c>
      <c r="H7" s="71">
        <v>1.18</v>
      </c>
      <c r="I7" s="68">
        <v>9.5000000000000001E-2</v>
      </c>
      <c r="J7" s="72">
        <v>2.016</v>
      </c>
    </row>
    <row r="8" spans="2:24">
      <c r="B8" s="109">
        <v>0.15</v>
      </c>
      <c r="C8" s="68">
        <v>0.14660000000000001</v>
      </c>
      <c r="D8" s="69">
        <v>8.0000000000000002E-3</v>
      </c>
      <c r="E8" s="70">
        <v>0.14530000000000001</v>
      </c>
      <c r="F8" s="71">
        <v>1.29</v>
      </c>
      <c r="G8" s="70">
        <v>0.1447</v>
      </c>
      <c r="H8" s="71">
        <v>3.0979999999999999</v>
      </c>
      <c r="I8" s="68">
        <v>0.14449999999999999</v>
      </c>
      <c r="J8" s="72">
        <v>4.6100000000000003</v>
      </c>
      <c r="X8" s="1"/>
    </row>
    <row r="9" spans="2:24">
      <c r="B9" s="109">
        <v>0.2014</v>
      </c>
      <c r="C9" s="68">
        <v>0.20530000000000001</v>
      </c>
      <c r="D9" s="69">
        <v>8.0000000000000002E-3</v>
      </c>
      <c r="E9" s="70">
        <v>0.20349999999999999</v>
      </c>
      <c r="F9" s="71">
        <v>1.635</v>
      </c>
      <c r="G9" s="70">
        <v>0.20250000000000001</v>
      </c>
      <c r="H9" s="71">
        <v>4.0949999999999998</v>
      </c>
      <c r="I9" s="68">
        <v>0.2019</v>
      </c>
      <c r="J9" s="72">
        <v>6.2119999999999997</v>
      </c>
    </row>
    <row r="10" spans="2:24">
      <c r="B10" s="109">
        <v>0.253</v>
      </c>
      <c r="C10" s="68">
        <v>0.251</v>
      </c>
      <c r="D10" s="69">
        <v>8.0000000000000002E-3</v>
      </c>
      <c r="E10" s="70">
        <v>0.25019999999999998</v>
      </c>
      <c r="F10" s="71">
        <v>1.2989999999999999</v>
      </c>
      <c r="G10" s="70">
        <v>0.2492</v>
      </c>
      <c r="H10" s="71">
        <v>4.0629999999999997</v>
      </c>
      <c r="I10" s="68">
        <v>0.2487</v>
      </c>
      <c r="J10" s="72">
        <v>6.6</v>
      </c>
    </row>
    <row r="11" spans="2:24">
      <c r="B11" s="109">
        <v>0.30149999999999999</v>
      </c>
      <c r="C11" s="68">
        <v>0.29509999999999997</v>
      </c>
      <c r="D11" s="69">
        <v>8.0000000000000002E-3</v>
      </c>
      <c r="E11" s="70">
        <v>0.29599999999999999</v>
      </c>
      <c r="F11" s="71">
        <v>1.27</v>
      </c>
      <c r="G11" s="70">
        <v>0.29499999999999998</v>
      </c>
      <c r="H11" s="71">
        <v>4.2300000000000004</v>
      </c>
      <c r="I11" s="68">
        <v>0.29549999999999998</v>
      </c>
      <c r="J11" s="72">
        <v>6.7469999999999999</v>
      </c>
    </row>
    <row r="12" spans="2:24">
      <c r="B12" s="109">
        <v>0.34799999999999998</v>
      </c>
      <c r="C12" s="68">
        <v>0.34789999999999999</v>
      </c>
      <c r="D12" s="69">
        <v>8.0000000000000002E-3</v>
      </c>
      <c r="E12" s="70">
        <v>0.3478</v>
      </c>
      <c r="F12" s="71">
        <v>1.306</v>
      </c>
      <c r="G12" s="70">
        <v>0.34670000000000001</v>
      </c>
      <c r="H12" s="71">
        <v>4.2220000000000004</v>
      </c>
      <c r="I12" s="68">
        <v>0.34639999999999999</v>
      </c>
      <c r="J12" s="72">
        <v>6.5830000000000002</v>
      </c>
    </row>
    <row r="13" spans="2:24">
      <c r="B13" s="109">
        <v>0.40100000000000002</v>
      </c>
      <c r="C13" s="68">
        <v>0.4012</v>
      </c>
      <c r="D13" s="69">
        <v>8.9999999999999993E-3</v>
      </c>
      <c r="E13" s="70">
        <v>0.39800000000000002</v>
      </c>
      <c r="F13" s="71">
        <v>1.38</v>
      </c>
      <c r="G13" s="70">
        <v>0.39810000000000001</v>
      </c>
      <c r="H13" s="71">
        <v>3.7810000000000001</v>
      </c>
      <c r="I13" s="68">
        <v>0.39750000000000002</v>
      </c>
      <c r="J13" s="72">
        <v>6.7450000000000001</v>
      </c>
    </row>
    <row r="14" spans="2:24">
      <c r="B14" s="109">
        <v>0.45029999999999998</v>
      </c>
      <c r="C14" s="68">
        <v>0.44969999999999999</v>
      </c>
      <c r="D14" s="69">
        <v>8.0000000000000002E-3</v>
      </c>
      <c r="E14" s="70">
        <v>0.44950000000000001</v>
      </c>
      <c r="F14" s="71">
        <v>1.423</v>
      </c>
      <c r="G14" s="70">
        <v>0.44929999999999998</v>
      </c>
      <c r="H14" s="71">
        <v>3.9809999999999999</v>
      </c>
      <c r="I14" s="68">
        <v>0.44900000000000001</v>
      </c>
      <c r="J14" s="72">
        <v>6.6589999999999998</v>
      </c>
    </row>
    <row r="15" spans="2:24">
      <c r="B15" s="109">
        <v>0.50349999999999995</v>
      </c>
      <c r="C15" s="68">
        <v>0.50509999999999999</v>
      </c>
      <c r="D15" s="69">
        <v>8.9999999999999993E-3</v>
      </c>
      <c r="E15" s="70">
        <v>0.50370000000000004</v>
      </c>
      <c r="F15" s="71">
        <v>1.4390000000000001</v>
      </c>
      <c r="G15" s="70">
        <v>0.50470000000000004</v>
      </c>
      <c r="H15" s="71">
        <v>3.84</v>
      </c>
      <c r="I15" s="68">
        <v>0.50419999999999998</v>
      </c>
      <c r="J15" s="72">
        <v>6.8529999999999998</v>
      </c>
    </row>
    <row r="16" spans="2:24">
      <c r="B16" s="114">
        <v>1.0012000000000001</v>
      </c>
      <c r="C16" s="68">
        <v>1.0001</v>
      </c>
      <c r="D16" s="69">
        <v>8.0000000000000002E-3</v>
      </c>
      <c r="E16" s="70">
        <v>1.0007999999999999</v>
      </c>
      <c r="F16" s="71">
        <v>2.8490000000000002</v>
      </c>
      <c r="G16" s="70">
        <v>1.0006999999999999</v>
      </c>
      <c r="H16" s="71">
        <v>3.7250000000000001</v>
      </c>
      <c r="I16" s="68">
        <v>1.0005999999999999</v>
      </c>
      <c r="J16" s="72">
        <v>5.5149999999999997</v>
      </c>
      <c r="K16" s="2" t="s">
        <v>52</v>
      </c>
    </row>
    <row r="17" spans="2:10">
      <c r="B17" s="114">
        <v>1.5</v>
      </c>
      <c r="C17" s="68">
        <v>1.4997</v>
      </c>
      <c r="D17" s="69">
        <v>8.9999999999999993E-3</v>
      </c>
      <c r="E17" s="70"/>
      <c r="F17" s="71"/>
      <c r="G17" s="70">
        <v>1.4992000000000001</v>
      </c>
      <c r="H17" s="71">
        <v>4.6619999999999999</v>
      </c>
      <c r="I17" s="68">
        <v>1.4991000000000001</v>
      </c>
      <c r="J17" s="72">
        <v>6.4749999999999996</v>
      </c>
    </row>
    <row r="18" spans="2:10">
      <c r="B18" s="114">
        <v>2.0087999999999999</v>
      </c>
      <c r="C18" s="68">
        <v>2.0074000000000001</v>
      </c>
      <c r="D18" s="69">
        <v>8.9999999999999993E-3</v>
      </c>
      <c r="E18" s="70"/>
      <c r="F18" s="71"/>
      <c r="G18" s="70">
        <v>2.0066000000000002</v>
      </c>
      <c r="H18" s="71">
        <v>5.9489999999999998</v>
      </c>
      <c r="I18" s="68">
        <v>1.5308999999999999</v>
      </c>
      <c r="J18" s="72">
        <v>6.6959999999999997</v>
      </c>
    </row>
    <row r="19" spans="2:10">
      <c r="B19" s="115">
        <v>3.9996</v>
      </c>
      <c r="C19" s="68">
        <v>3.9992000000000001</v>
      </c>
      <c r="D19" s="69">
        <v>8.9999999999999993E-3</v>
      </c>
      <c r="E19" s="70"/>
      <c r="F19" s="71"/>
      <c r="G19" s="70">
        <v>2.3611</v>
      </c>
      <c r="H19" s="71">
        <v>6.5670000000000002</v>
      </c>
      <c r="I19" s="68">
        <v>1.3594999999999999</v>
      </c>
      <c r="J19" s="72">
        <v>6.6779999999999999</v>
      </c>
    </row>
    <row r="20" spans="2:10">
      <c r="B20" s="115">
        <v>6.0012999999999996</v>
      </c>
      <c r="C20" s="68">
        <v>6.0011000000000001</v>
      </c>
      <c r="D20" s="69">
        <v>8.9999999999999993E-3</v>
      </c>
      <c r="E20" s="70"/>
      <c r="F20" s="71"/>
      <c r="G20" s="70">
        <v>2.2946</v>
      </c>
      <c r="H20" s="71">
        <v>6.65</v>
      </c>
      <c r="I20" s="68">
        <v>1.5958000000000001</v>
      </c>
      <c r="J20" s="72">
        <v>6.74</v>
      </c>
    </row>
    <row r="21" spans="2:10">
      <c r="B21" s="115">
        <v>7.9988000000000001</v>
      </c>
      <c r="C21" s="68">
        <v>7.9987000000000004</v>
      </c>
      <c r="D21" s="69">
        <v>8.9999999999999993E-3</v>
      </c>
      <c r="E21" s="172"/>
      <c r="F21" s="71"/>
      <c r="G21" s="70">
        <v>1.9539</v>
      </c>
      <c r="H21" s="71">
        <v>6.6740000000000004</v>
      </c>
      <c r="I21" s="68">
        <v>1.8819999999999999</v>
      </c>
      <c r="J21" s="72">
        <v>6.6319999999999997</v>
      </c>
    </row>
    <row r="22" spans="2:10" ht="19" thickBot="1">
      <c r="B22" s="115">
        <v>10.0054</v>
      </c>
      <c r="C22" s="68">
        <v>10.0054</v>
      </c>
      <c r="D22" s="69">
        <v>8.9999999999999993E-3</v>
      </c>
      <c r="E22" s="173"/>
      <c r="F22" s="171"/>
      <c r="G22" s="70">
        <v>2.0571000000000002</v>
      </c>
      <c r="H22" s="71">
        <v>6.7859999999999996</v>
      </c>
      <c r="I22" s="68">
        <v>1.4895</v>
      </c>
      <c r="J22" s="72">
        <v>6.8289999999999997</v>
      </c>
    </row>
    <row r="23" spans="2:10" ht="19" thickTop="1">
      <c r="B23" s="73"/>
      <c r="C23" s="74"/>
      <c r="D23" s="74"/>
      <c r="F23" s="74" t="s">
        <v>56</v>
      </c>
      <c r="G23" s="74"/>
      <c r="H23" s="74"/>
      <c r="I23" s="74"/>
      <c r="J23" s="3" t="s">
        <v>8</v>
      </c>
    </row>
    <row r="25" spans="2:10">
      <c r="J25" s="1"/>
    </row>
    <row r="26" spans="2:10" ht="19" thickBot="1">
      <c r="B26" s="2" t="s">
        <v>9</v>
      </c>
    </row>
    <row r="27" spans="2:10" ht="19" thickTop="1">
      <c r="B27" s="5"/>
      <c r="C27" s="6" t="s">
        <v>10</v>
      </c>
      <c r="D27" s="8" t="s">
        <v>48</v>
      </c>
      <c r="E27" s="9" t="s">
        <v>11</v>
      </c>
      <c r="F27" s="10" t="s">
        <v>50</v>
      </c>
      <c r="G27" s="6" t="s">
        <v>12</v>
      </c>
      <c r="H27" s="11">
        <v>3.9998999999999998</v>
      </c>
    </row>
    <row r="28" spans="2:10" s="107" customFormat="1" ht="19" thickBot="1">
      <c r="B28" s="106" t="s">
        <v>13</v>
      </c>
      <c r="C28" s="101" t="s">
        <v>14</v>
      </c>
      <c r="D28" s="102" t="s">
        <v>15</v>
      </c>
      <c r="E28" s="103" t="s">
        <v>16</v>
      </c>
      <c r="F28" s="104" t="s">
        <v>17</v>
      </c>
      <c r="G28" s="101" t="s">
        <v>16</v>
      </c>
      <c r="H28" s="105" t="s">
        <v>17</v>
      </c>
    </row>
    <row r="29" spans="2:10">
      <c r="B29" s="75">
        <v>0</v>
      </c>
      <c r="C29" s="20">
        <v>5.0000000000000001E-4</v>
      </c>
      <c r="D29" s="22">
        <v>0.01</v>
      </c>
      <c r="E29" s="23">
        <v>4.0000000000000002E-4</v>
      </c>
      <c r="F29" s="24">
        <v>0.01</v>
      </c>
      <c r="G29" s="20">
        <v>6.9999999999999999E-4</v>
      </c>
      <c r="H29" s="25">
        <v>0.01</v>
      </c>
    </row>
    <row r="30" spans="2:10">
      <c r="B30" s="76" t="s">
        <v>18</v>
      </c>
      <c r="C30" s="27"/>
      <c r="D30" s="29">
        <v>1.2999999999999999E-2</v>
      </c>
      <c r="E30" s="30"/>
      <c r="F30" s="31">
        <v>0.01</v>
      </c>
      <c r="G30" s="27"/>
      <c r="H30" s="32">
        <v>0.01</v>
      </c>
    </row>
    <row r="31" spans="2:10">
      <c r="B31" s="76">
        <v>0.4</v>
      </c>
      <c r="C31" s="27">
        <v>0.4027</v>
      </c>
      <c r="D31" s="29">
        <v>1.0999999999999999E-2</v>
      </c>
      <c r="E31" s="30">
        <v>0.39879999999999999</v>
      </c>
      <c r="F31" s="31">
        <v>0.01</v>
      </c>
      <c r="G31" s="27">
        <v>0.40300000000000002</v>
      </c>
      <c r="H31" s="32">
        <v>0.01</v>
      </c>
    </row>
    <row r="32" spans="2:10">
      <c r="B32" s="76">
        <v>0.42499999999999999</v>
      </c>
      <c r="C32" s="58">
        <v>0.42730000000000001</v>
      </c>
      <c r="D32" s="29">
        <v>1.0999999999999999E-2</v>
      </c>
      <c r="E32" s="30">
        <v>0.4274</v>
      </c>
      <c r="F32" s="31">
        <v>8.9999999999999993E-3</v>
      </c>
      <c r="G32" s="27">
        <v>0.42480000000000001</v>
      </c>
      <c r="H32" s="32">
        <v>0.01</v>
      </c>
    </row>
    <row r="33" spans="2:8">
      <c r="B33" s="76">
        <v>0.45</v>
      </c>
      <c r="C33" s="27">
        <v>0.44979999999999998</v>
      </c>
      <c r="D33" s="29">
        <v>1.0999999999999999E-2</v>
      </c>
      <c r="E33" s="30">
        <v>0.45269999999999999</v>
      </c>
      <c r="F33" s="31">
        <v>1.0999999999999999E-2</v>
      </c>
      <c r="G33" s="27">
        <v>0.4526</v>
      </c>
      <c r="H33" s="32">
        <v>0.01</v>
      </c>
    </row>
    <row r="34" spans="2:8">
      <c r="B34" s="76">
        <v>0.47499999999999998</v>
      </c>
      <c r="C34" s="27">
        <v>0.47499999999999998</v>
      </c>
      <c r="D34" s="29">
        <v>1.0999999999999999E-2</v>
      </c>
      <c r="E34" s="30">
        <v>0.47249999999999998</v>
      </c>
      <c r="F34" s="31">
        <v>1.0999999999999999E-2</v>
      </c>
      <c r="G34" s="27">
        <v>0.47820000000000001</v>
      </c>
      <c r="H34" s="32">
        <v>0.01</v>
      </c>
    </row>
    <row r="35" spans="2:8">
      <c r="B35" s="76">
        <v>0.5</v>
      </c>
      <c r="C35" s="27">
        <v>0.50009999999999999</v>
      </c>
      <c r="D35" s="29">
        <v>1.2E-2</v>
      </c>
      <c r="E35" s="30">
        <v>0.50370000000000004</v>
      </c>
      <c r="F35" s="31">
        <v>0.01</v>
      </c>
      <c r="G35" s="27">
        <v>0.50129999999999997</v>
      </c>
      <c r="H35" s="32">
        <v>0.01</v>
      </c>
    </row>
    <row r="36" spans="2:8">
      <c r="B36" s="76">
        <v>0.52500000000000002</v>
      </c>
      <c r="C36" s="27">
        <v>0.52459999999999996</v>
      </c>
      <c r="D36" s="29">
        <v>1.2999999999999999E-2</v>
      </c>
      <c r="E36" s="30">
        <v>0.52400000000000002</v>
      </c>
      <c r="F36" s="31">
        <v>1.0999999999999999E-2</v>
      </c>
      <c r="G36" s="27">
        <v>0.52329999999999999</v>
      </c>
      <c r="H36" s="32">
        <v>0.01</v>
      </c>
    </row>
    <row r="37" spans="2:8">
      <c r="B37" s="76">
        <v>0.55000000000000004</v>
      </c>
      <c r="C37" s="27">
        <v>0.54910000000000003</v>
      </c>
      <c r="D37" s="29">
        <v>1.7000000000000001E-2</v>
      </c>
      <c r="E37" s="30">
        <v>0.54920000000000002</v>
      </c>
      <c r="F37" s="31">
        <v>0.13300000000000001</v>
      </c>
      <c r="G37" s="27">
        <v>0.54869999999999997</v>
      </c>
      <c r="H37" s="32">
        <v>0.01</v>
      </c>
    </row>
    <row r="38" spans="2:8">
      <c r="B38" s="76">
        <v>0.57499999999999996</v>
      </c>
      <c r="C38" s="27">
        <v>0.57479999999999998</v>
      </c>
      <c r="D38" s="29">
        <v>2.5999999999999999E-2</v>
      </c>
      <c r="E38" s="30">
        <v>0.57420000000000004</v>
      </c>
      <c r="F38" s="31">
        <v>0.14000000000000001</v>
      </c>
      <c r="G38" s="77">
        <v>0.57469999999999999</v>
      </c>
      <c r="H38" s="78">
        <v>0.01</v>
      </c>
    </row>
    <row r="39" spans="2:8">
      <c r="B39" s="76">
        <v>0.6</v>
      </c>
      <c r="C39" s="27">
        <v>0.59930000000000005</v>
      </c>
      <c r="D39" s="29">
        <v>4.2999999999999997E-2</v>
      </c>
      <c r="E39" s="30">
        <v>0.59970000000000001</v>
      </c>
      <c r="F39" s="31">
        <v>0.15</v>
      </c>
      <c r="G39" s="27">
        <v>0.59940000000000004</v>
      </c>
      <c r="H39" s="32">
        <v>1.0999999999999999E-2</v>
      </c>
    </row>
    <row r="40" spans="2:8">
      <c r="B40" s="76">
        <v>0.625</v>
      </c>
      <c r="C40" s="27">
        <v>0.62619999999999998</v>
      </c>
      <c r="D40" s="29">
        <v>8.5000000000000006E-2</v>
      </c>
      <c r="E40" s="30">
        <v>0.62480000000000002</v>
      </c>
      <c r="F40" s="31">
        <v>0.14499999999999999</v>
      </c>
      <c r="G40" s="27">
        <v>0.62560000000000004</v>
      </c>
      <c r="H40" s="32">
        <v>0.35299999999999998</v>
      </c>
    </row>
    <row r="41" spans="2:8">
      <c r="B41" s="76">
        <v>0.65</v>
      </c>
      <c r="C41" s="27">
        <v>0.65029999999999999</v>
      </c>
      <c r="D41" s="29">
        <v>0.161</v>
      </c>
      <c r="E41" s="30">
        <v>0.65080000000000005</v>
      </c>
      <c r="F41" s="31">
        <v>0.151</v>
      </c>
      <c r="G41" s="27">
        <v>0.65049999999999997</v>
      </c>
      <c r="H41" s="32">
        <v>0.30599999999999999</v>
      </c>
    </row>
    <row r="42" spans="2:8">
      <c r="B42" s="76">
        <v>0.67500000000000004</v>
      </c>
      <c r="C42" s="27">
        <v>0.67579999999999996</v>
      </c>
      <c r="D42" s="29">
        <v>0.318</v>
      </c>
      <c r="E42" s="30">
        <v>0.67579999999999996</v>
      </c>
      <c r="F42" s="31">
        <v>0.16</v>
      </c>
      <c r="G42" s="27">
        <v>0.67589999999999995</v>
      </c>
      <c r="H42" s="32">
        <v>0.31900000000000001</v>
      </c>
    </row>
    <row r="43" spans="2:8">
      <c r="B43" s="76">
        <v>0.7</v>
      </c>
      <c r="C43" s="27">
        <v>0.70760000000000001</v>
      </c>
      <c r="D43" s="29">
        <v>0.74</v>
      </c>
      <c r="E43" s="30">
        <v>0.69889999999999997</v>
      </c>
      <c r="F43" s="31">
        <v>0.161</v>
      </c>
      <c r="G43" s="27">
        <v>0.70109999999999995</v>
      </c>
      <c r="H43" s="32">
        <v>0.46899999999999997</v>
      </c>
    </row>
    <row r="44" spans="2:8">
      <c r="B44" s="76">
        <v>0.72499999999999998</v>
      </c>
      <c r="C44" s="27">
        <v>0.72650000000000003</v>
      </c>
      <c r="D44" s="29">
        <v>1.216</v>
      </c>
      <c r="E44" s="30">
        <v>0.72660000000000002</v>
      </c>
      <c r="F44" s="31">
        <v>0.19400000000000001</v>
      </c>
      <c r="G44" s="27">
        <v>0.7268</v>
      </c>
      <c r="H44" s="32">
        <v>0.53600000000000003</v>
      </c>
    </row>
    <row r="45" spans="2:8">
      <c r="B45" s="76">
        <v>0.75</v>
      </c>
      <c r="C45" s="27">
        <v>0.752</v>
      </c>
      <c r="D45" s="29">
        <v>2.3559999999999999</v>
      </c>
      <c r="E45" s="30">
        <v>0.75209999999999999</v>
      </c>
      <c r="F45" s="31">
        <v>0.28199999999999997</v>
      </c>
      <c r="G45" s="27">
        <v>0.75309999999999999</v>
      </c>
      <c r="H45" s="32">
        <v>0.53600000000000003</v>
      </c>
    </row>
    <row r="46" spans="2:8">
      <c r="B46" s="76">
        <v>0.77500000000000002</v>
      </c>
      <c r="C46" s="27">
        <v>0.77500000000000002</v>
      </c>
      <c r="D46" s="29">
        <v>4.18</v>
      </c>
      <c r="E46" s="30">
        <v>0.77559999999999996</v>
      </c>
      <c r="F46" s="31">
        <v>0.39400000000000002</v>
      </c>
      <c r="G46" s="27">
        <v>0.77339999999999998</v>
      </c>
      <c r="H46" s="32">
        <v>0.78500000000000003</v>
      </c>
    </row>
    <row r="47" spans="2:8">
      <c r="B47" s="117">
        <v>0.8</v>
      </c>
      <c r="C47" s="118">
        <v>0.8</v>
      </c>
      <c r="D47" s="50">
        <v>7.58</v>
      </c>
      <c r="E47" s="119">
        <v>0.80079999999999996</v>
      </c>
      <c r="F47" s="120">
        <v>0.75700000000000001</v>
      </c>
      <c r="G47" s="118">
        <v>0.79949999999999999</v>
      </c>
      <c r="H47" s="121">
        <v>1.9</v>
      </c>
    </row>
    <row r="48" spans="2:8">
      <c r="B48" s="128">
        <v>0.82499999999999996</v>
      </c>
      <c r="C48" s="77">
        <v>0.82569999999999999</v>
      </c>
      <c r="D48" s="127">
        <v>13.321</v>
      </c>
      <c r="E48" s="135">
        <v>0.82540000000000002</v>
      </c>
      <c r="F48" s="136">
        <v>1.474</v>
      </c>
      <c r="G48" s="77">
        <v>0.82589999999999997</v>
      </c>
      <c r="H48" s="130">
        <v>2.34</v>
      </c>
    </row>
    <row r="49" spans="2:8" ht="19" thickBot="1">
      <c r="B49" s="122">
        <v>0.85</v>
      </c>
      <c r="C49" s="123">
        <v>0.85140000000000005</v>
      </c>
      <c r="D49" s="124">
        <v>20.925999999999998</v>
      </c>
      <c r="E49" s="125">
        <v>0.84970000000000001</v>
      </c>
      <c r="F49" s="126">
        <v>2.4729999999999999</v>
      </c>
      <c r="G49" s="123">
        <v>0.85440000000000005</v>
      </c>
      <c r="H49" s="129">
        <v>2.83</v>
      </c>
    </row>
    <row r="50" spans="2:8" ht="19" thickTop="1">
      <c r="H50" s="1" t="s">
        <v>19</v>
      </c>
    </row>
    <row r="52" spans="2:8" ht="19" thickBot="1">
      <c r="B52" s="2" t="s">
        <v>20</v>
      </c>
      <c r="C52" s="81"/>
    </row>
    <row r="53" spans="2:8" ht="20" thickTop="1" thickBot="1">
      <c r="B53" s="83" t="s">
        <v>6</v>
      </c>
      <c r="C53" s="98" t="s">
        <v>21</v>
      </c>
      <c r="D53" s="99" t="s">
        <v>7</v>
      </c>
      <c r="E53" s="82" t="s">
        <v>22</v>
      </c>
    </row>
    <row r="54" spans="2:8">
      <c r="B54" s="94">
        <v>4</v>
      </c>
      <c r="C54" s="84">
        <v>0</v>
      </c>
      <c r="D54" s="85">
        <f>D19</f>
        <v>8.9999999999999993E-3</v>
      </c>
      <c r="E54" s="86">
        <f>D54*1000</f>
        <v>9</v>
      </c>
    </row>
    <row r="55" spans="2:8">
      <c r="B55" s="95"/>
      <c r="C55" s="87">
        <v>20</v>
      </c>
      <c r="D55" s="88">
        <f>F19</f>
        <v>0</v>
      </c>
      <c r="E55" s="79">
        <f t="shared" ref="E55:E69" si="0">D55*1000</f>
        <v>0</v>
      </c>
    </row>
    <row r="56" spans="2:8">
      <c r="B56" s="95"/>
      <c r="C56" s="87">
        <v>40</v>
      </c>
      <c r="D56" s="88">
        <f>H19</f>
        <v>6.5670000000000002</v>
      </c>
      <c r="E56" s="79">
        <f t="shared" si="0"/>
        <v>6567</v>
      </c>
    </row>
    <row r="57" spans="2:8" ht="19" thickBot="1">
      <c r="B57" s="96"/>
      <c r="C57" s="91">
        <v>60</v>
      </c>
      <c r="D57" s="92">
        <f>J19</f>
        <v>6.6779999999999999</v>
      </c>
      <c r="E57" s="93">
        <f t="shared" si="0"/>
        <v>6678</v>
      </c>
    </row>
    <row r="58" spans="2:8">
      <c r="B58" s="94">
        <v>6</v>
      </c>
      <c r="C58" s="84">
        <v>0</v>
      </c>
      <c r="D58" s="85">
        <f>D20</f>
        <v>8.9999999999999993E-3</v>
      </c>
      <c r="E58" s="86">
        <f t="shared" si="0"/>
        <v>9</v>
      </c>
    </row>
    <row r="59" spans="2:8">
      <c r="B59" s="95"/>
      <c r="C59" s="87">
        <v>20</v>
      </c>
      <c r="D59" s="88">
        <f>F20</f>
        <v>0</v>
      </c>
      <c r="E59" s="79">
        <f t="shared" si="0"/>
        <v>0</v>
      </c>
    </row>
    <row r="60" spans="2:8">
      <c r="B60" s="95"/>
      <c r="C60" s="87">
        <v>40</v>
      </c>
      <c r="D60" s="88">
        <f>H20</f>
        <v>6.65</v>
      </c>
      <c r="E60" s="79">
        <f t="shared" si="0"/>
        <v>6650</v>
      </c>
    </row>
    <row r="61" spans="2:8" ht="19" thickBot="1">
      <c r="B61" s="96"/>
      <c r="C61" s="91">
        <v>60</v>
      </c>
      <c r="D61" s="92">
        <f>J20</f>
        <v>6.74</v>
      </c>
      <c r="E61" s="93">
        <f t="shared" si="0"/>
        <v>6740</v>
      </c>
    </row>
    <row r="62" spans="2:8">
      <c r="B62" s="94">
        <v>8</v>
      </c>
      <c r="C62" s="84">
        <v>0</v>
      </c>
      <c r="D62" s="85">
        <f>D21</f>
        <v>8.9999999999999993E-3</v>
      </c>
      <c r="E62" s="86">
        <f t="shared" si="0"/>
        <v>9</v>
      </c>
    </row>
    <row r="63" spans="2:8">
      <c r="B63" s="95"/>
      <c r="C63" s="87">
        <v>20</v>
      </c>
      <c r="D63" s="88">
        <f>F21</f>
        <v>0</v>
      </c>
      <c r="E63" s="79">
        <f t="shared" si="0"/>
        <v>0</v>
      </c>
    </row>
    <row r="64" spans="2:8">
      <c r="B64" s="95"/>
      <c r="C64" s="87">
        <v>40</v>
      </c>
      <c r="D64" s="88">
        <f>H21</f>
        <v>6.6740000000000004</v>
      </c>
      <c r="E64" s="79">
        <f t="shared" si="0"/>
        <v>6674</v>
      </c>
    </row>
    <row r="65" spans="2:9" ht="19" thickBot="1">
      <c r="B65" s="96"/>
      <c r="C65" s="91">
        <v>60</v>
      </c>
      <c r="D65" s="92">
        <f>J21</f>
        <v>6.6319999999999997</v>
      </c>
      <c r="E65" s="93">
        <f t="shared" si="0"/>
        <v>6632</v>
      </c>
    </row>
    <row r="66" spans="2:9">
      <c r="B66" s="94">
        <v>10</v>
      </c>
      <c r="C66" s="84">
        <v>0</v>
      </c>
      <c r="D66" s="85">
        <f>D22</f>
        <v>8.9999999999999993E-3</v>
      </c>
      <c r="E66" s="86">
        <f t="shared" si="0"/>
        <v>9</v>
      </c>
    </row>
    <row r="67" spans="2:9">
      <c r="B67" s="95"/>
      <c r="C67" s="87">
        <v>20</v>
      </c>
      <c r="D67" s="88">
        <f>F22</f>
        <v>0</v>
      </c>
      <c r="E67" s="79">
        <f t="shared" si="0"/>
        <v>0</v>
      </c>
      <c r="H67" s="2">
        <f t="shared" ref="H67:H82" si="1">C54*E54</f>
        <v>0</v>
      </c>
      <c r="I67" s="2">
        <f t="shared" ref="I67:I82" si="2">C54*C54</f>
        <v>0</v>
      </c>
    </row>
    <row r="68" spans="2:9">
      <c r="B68" s="95"/>
      <c r="C68" s="87">
        <v>40</v>
      </c>
      <c r="D68" s="88">
        <f>H22</f>
        <v>6.7859999999999996</v>
      </c>
      <c r="E68" s="79">
        <f t="shared" si="0"/>
        <v>6786</v>
      </c>
      <c r="H68" s="2">
        <f t="shared" si="1"/>
        <v>0</v>
      </c>
      <c r="I68" s="2">
        <f t="shared" si="2"/>
        <v>400</v>
      </c>
    </row>
    <row r="69" spans="2:9" ht="19" thickBot="1">
      <c r="B69" s="97"/>
      <c r="C69" s="89">
        <v>60</v>
      </c>
      <c r="D69" s="90">
        <f>J22</f>
        <v>6.8289999999999997</v>
      </c>
      <c r="E69" s="80">
        <f t="shared" si="0"/>
        <v>6829</v>
      </c>
      <c r="H69" s="2">
        <f t="shared" si="1"/>
        <v>262680</v>
      </c>
      <c r="I69" s="2">
        <f t="shared" si="2"/>
        <v>1600</v>
      </c>
    </row>
    <row r="70" spans="2:9" ht="19" thickTop="1">
      <c r="H70" s="2">
        <f t="shared" si="1"/>
        <v>400680</v>
      </c>
      <c r="I70" s="2">
        <f t="shared" si="2"/>
        <v>3600</v>
      </c>
    </row>
    <row r="71" spans="2:9">
      <c r="D71" s="58" t="s">
        <v>23</v>
      </c>
      <c r="E71" s="60" cm="1">
        <f t="array" ref="E71:F71">LINEST(E54:E69,C54:C69)</f>
        <v>134.00750000000002</v>
      </c>
      <c r="F71" s="100">
        <v>-670.72500000000082</v>
      </c>
      <c r="H71" s="2">
        <f t="shared" si="1"/>
        <v>0</v>
      </c>
      <c r="I71" s="2">
        <f t="shared" si="2"/>
        <v>0</v>
      </c>
    </row>
    <row r="72" spans="2:9">
      <c r="D72" s="58" t="s">
        <v>24</v>
      </c>
      <c r="E72" s="59">
        <f>E71/(1+E71)</f>
        <v>0.99259300409236528</v>
      </c>
      <c r="H72" s="2">
        <f t="shared" si="1"/>
        <v>0</v>
      </c>
      <c r="I72" s="2">
        <f t="shared" si="2"/>
        <v>400</v>
      </c>
    </row>
    <row r="73" spans="2:9">
      <c r="H73" s="2">
        <f t="shared" si="1"/>
        <v>266000</v>
      </c>
      <c r="I73" s="2">
        <f t="shared" si="2"/>
        <v>1600</v>
      </c>
    </row>
    <row r="74" spans="2:9">
      <c r="C74" s="2" t="s">
        <v>57</v>
      </c>
      <c r="D74" s="2">
        <v>16</v>
      </c>
      <c r="H74" s="2">
        <f t="shared" si="1"/>
        <v>404400</v>
      </c>
      <c r="I74" s="2">
        <f t="shared" si="2"/>
        <v>3600</v>
      </c>
    </row>
    <row r="75" spans="2:9">
      <c r="C75" s="2" t="s">
        <v>58</v>
      </c>
      <c r="D75" s="2">
        <f>SUM(H67:H82)</f>
        <v>2679820</v>
      </c>
      <c r="H75" s="2">
        <f t="shared" si="1"/>
        <v>0</v>
      </c>
      <c r="I75" s="2">
        <f t="shared" si="2"/>
        <v>0</v>
      </c>
    </row>
    <row r="76" spans="2:9">
      <c r="C76" s="2" t="s">
        <v>60</v>
      </c>
      <c r="D76" s="2">
        <f>SUM(C54:C69)</f>
        <v>480</v>
      </c>
      <c r="H76" s="2">
        <f t="shared" si="1"/>
        <v>0</v>
      </c>
      <c r="I76" s="2">
        <f t="shared" si="2"/>
        <v>400</v>
      </c>
    </row>
    <row r="77" spans="2:9">
      <c r="C77" s="2" t="s">
        <v>61</v>
      </c>
      <c r="D77" s="2">
        <f>SUM(E54:E69)</f>
        <v>53592</v>
      </c>
      <c r="H77" s="2">
        <f t="shared" si="1"/>
        <v>266960</v>
      </c>
      <c r="I77" s="2">
        <f t="shared" si="2"/>
        <v>1600</v>
      </c>
    </row>
    <row r="78" spans="2:9">
      <c r="C78" s="2" t="s">
        <v>62</v>
      </c>
      <c r="D78" s="2">
        <f>SUM(I67:I82)</f>
        <v>22400</v>
      </c>
      <c r="H78" s="2">
        <f t="shared" si="1"/>
        <v>397920</v>
      </c>
      <c r="I78" s="2">
        <f t="shared" si="2"/>
        <v>3600</v>
      </c>
    </row>
    <row r="79" spans="2:9">
      <c r="C79" s="2" t="s">
        <v>63</v>
      </c>
      <c r="D79" s="2">
        <f>D76*D76</f>
        <v>230400</v>
      </c>
      <c r="H79" s="2">
        <f t="shared" si="1"/>
        <v>0</v>
      </c>
      <c r="I79" s="2">
        <f t="shared" si="2"/>
        <v>0</v>
      </c>
    </row>
    <row r="80" spans="2:9">
      <c r="H80" s="2">
        <f t="shared" si="1"/>
        <v>0</v>
      </c>
      <c r="I80" s="2">
        <f t="shared" si="2"/>
        <v>400</v>
      </c>
    </row>
    <row r="81" spans="3:9">
      <c r="C81" s="2" t="s">
        <v>64</v>
      </c>
      <c r="D81" s="2">
        <f>(D74*D75-D76*D77)/(D74*D78-D79)</f>
        <v>134.00749999999999</v>
      </c>
      <c r="H81" s="2">
        <f t="shared" si="1"/>
        <v>271440</v>
      </c>
      <c r="I81" s="2">
        <f t="shared" si="2"/>
        <v>1600</v>
      </c>
    </row>
    <row r="82" spans="3:9">
      <c r="C82" s="2" t="s">
        <v>65</v>
      </c>
      <c r="D82" s="2">
        <f>(D76*D75-D77*D78)/(D79-D74*D78)</f>
        <v>-670.72500000000002</v>
      </c>
      <c r="H82" s="2">
        <f t="shared" si="1"/>
        <v>409740</v>
      </c>
      <c r="I82" s="2">
        <f t="shared" si="2"/>
        <v>3600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D6372-11E6-EB4E-9960-FAF67F0CAAA1}">
  <dimension ref="B2:AJ75"/>
  <sheetViews>
    <sheetView tabSelected="1" topLeftCell="A18" zoomScale="48" zoomScaleNormal="48" workbookViewId="0">
      <selection activeCell="B42" sqref="B42:D60"/>
    </sheetView>
  </sheetViews>
  <sheetFormatPr baseColWidth="10" defaultColWidth="8.6640625" defaultRowHeight="18"/>
  <cols>
    <col min="1" max="1" width="4" customWidth="1"/>
    <col min="2" max="2" width="10.6640625" bestFit="1" customWidth="1"/>
    <col min="3" max="3" width="11.6640625" customWidth="1"/>
    <col min="4" max="4" width="13.33203125" bestFit="1" customWidth="1"/>
    <col min="16" max="16" width="10.1640625" customWidth="1"/>
  </cols>
  <sheetData>
    <row r="2" spans="2:36" ht="19" thickBot="1">
      <c r="B2" t="s">
        <v>25</v>
      </c>
    </row>
    <row r="3" spans="2:36" ht="19" thickTop="1">
      <c r="B3" s="5"/>
      <c r="C3" s="6" t="s">
        <v>26</v>
      </c>
      <c r="D3" s="7"/>
      <c r="E3" s="8"/>
      <c r="F3" s="9" t="s">
        <v>27</v>
      </c>
      <c r="G3" s="7"/>
      <c r="H3" s="10"/>
      <c r="I3" s="9" t="s">
        <v>28</v>
      </c>
      <c r="J3" s="7"/>
      <c r="K3" s="10"/>
      <c r="L3" s="6" t="s">
        <v>29</v>
      </c>
      <c r="M3" s="7"/>
      <c r="N3" s="11"/>
    </row>
    <row r="4" spans="2:36" ht="19" thickBot="1">
      <c r="B4" s="12" t="s">
        <v>30</v>
      </c>
      <c r="C4" s="13" t="s">
        <v>31</v>
      </c>
      <c r="D4" s="14" t="s">
        <v>32</v>
      </c>
      <c r="E4" s="15" t="s">
        <v>7</v>
      </c>
      <c r="F4" s="16" t="s">
        <v>31</v>
      </c>
      <c r="G4" s="14" t="s">
        <v>32</v>
      </c>
      <c r="H4" s="17" t="s">
        <v>7</v>
      </c>
      <c r="I4" s="16" t="s">
        <v>31</v>
      </c>
      <c r="J4" s="14" t="s">
        <v>32</v>
      </c>
      <c r="K4" s="17" t="s">
        <v>7</v>
      </c>
      <c r="L4" s="13" t="s">
        <v>31</v>
      </c>
      <c r="M4" s="14" t="s">
        <v>32</v>
      </c>
      <c r="N4" s="18" t="s">
        <v>7</v>
      </c>
    </row>
    <row r="5" spans="2:36">
      <c r="B5" s="19">
        <v>0</v>
      </c>
      <c r="C5" s="20">
        <v>3.0999999999999999E-3</v>
      </c>
      <c r="D5" s="21">
        <v>1.4999999999999999E-2</v>
      </c>
      <c r="E5" s="22">
        <v>0.01</v>
      </c>
      <c r="F5" s="23">
        <v>3.0000000000000001E-3</v>
      </c>
      <c r="G5" s="21">
        <v>2.1070000000000002</v>
      </c>
      <c r="H5" s="24">
        <v>2.1349999999999998</v>
      </c>
      <c r="I5" s="23">
        <v>2.8999999999999998E-3</v>
      </c>
      <c r="J5" s="21">
        <v>3.968</v>
      </c>
      <c r="K5" s="24">
        <v>3.9489999999999998</v>
      </c>
      <c r="L5" s="20">
        <v>2.8E-3</v>
      </c>
      <c r="M5" s="21">
        <v>5.9370000000000003</v>
      </c>
      <c r="N5" s="25">
        <v>5.8650000000000002</v>
      </c>
    </row>
    <row r="6" spans="2:36">
      <c r="B6" s="26">
        <v>0.1</v>
      </c>
      <c r="C6" s="27">
        <v>0.1066</v>
      </c>
      <c r="D6" s="28">
        <v>1.4999999999999999E-2</v>
      </c>
      <c r="E6" s="29">
        <v>0.01</v>
      </c>
      <c r="F6" s="30">
        <v>0.1046</v>
      </c>
      <c r="G6" s="28">
        <v>2.1840000000000002</v>
      </c>
      <c r="H6" s="31">
        <v>2.1309999999999998</v>
      </c>
      <c r="I6" s="30">
        <v>0.1048</v>
      </c>
      <c r="J6" s="28">
        <v>3.964</v>
      </c>
      <c r="K6" s="31">
        <v>3.956</v>
      </c>
      <c r="L6" s="27">
        <v>0.1048</v>
      </c>
      <c r="M6" s="28">
        <v>5.9089999999999998</v>
      </c>
      <c r="N6" s="32">
        <v>5.87</v>
      </c>
    </row>
    <row r="7" spans="2:36">
      <c r="B7" s="26">
        <v>0.2</v>
      </c>
      <c r="C7" s="27">
        <v>0.20519999999999999</v>
      </c>
      <c r="D7" s="28">
        <v>1.4999999999999999E-2</v>
      </c>
      <c r="E7" s="29">
        <v>1.0999999999999999E-2</v>
      </c>
      <c r="F7" s="30">
        <v>0.2094</v>
      </c>
      <c r="G7" s="28">
        <v>2.1589999999999998</v>
      </c>
      <c r="H7" s="31">
        <v>2.16</v>
      </c>
      <c r="I7" s="30">
        <v>0.2097</v>
      </c>
      <c r="J7" s="28">
        <v>3.9420000000000002</v>
      </c>
      <c r="K7" s="31">
        <v>3.9510000000000001</v>
      </c>
      <c r="L7" s="27">
        <v>0.20030000000000001</v>
      </c>
      <c r="M7" s="28">
        <v>5.8780000000000001</v>
      </c>
      <c r="N7" s="32">
        <v>5.8570000000000002</v>
      </c>
    </row>
    <row r="8" spans="2:36">
      <c r="B8" s="26">
        <v>0.3</v>
      </c>
      <c r="C8" s="27">
        <v>0.29680000000000001</v>
      </c>
      <c r="D8" s="28">
        <v>1.4999999999999999E-2</v>
      </c>
      <c r="E8" s="29">
        <v>1.0999999999999999E-2</v>
      </c>
      <c r="F8" s="30">
        <v>0.29680000000000001</v>
      </c>
      <c r="G8" s="28">
        <v>2.181</v>
      </c>
      <c r="H8" s="31">
        <v>2.1640000000000001</v>
      </c>
      <c r="I8" s="30">
        <v>0.29659999999999997</v>
      </c>
      <c r="J8" s="28">
        <v>3.9609999999999999</v>
      </c>
      <c r="K8" s="31">
        <v>3.9449999999999998</v>
      </c>
      <c r="L8" s="27">
        <v>0.29649999999999999</v>
      </c>
      <c r="M8" s="28">
        <v>5.8789999999999996</v>
      </c>
      <c r="N8" s="32">
        <v>5.867</v>
      </c>
    </row>
    <row r="9" spans="2:36">
      <c r="B9" s="26">
        <v>0.4</v>
      </c>
      <c r="C9" s="27">
        <v>0.40610000000000002</v>
      </c>
      <c r="D9" s="28">
        <v>1.4999999999999999E-2</v>
      </c>
      <c r="E9" s="29">
        <v>1.0999999999999999E-2</v>
      </c>
      <c r="F9" s="30">
        <v>0.40710000000000002</v>
      </c>
      <c r="G9" s="28">
        <v>2.202</v>
      </c>
      <c r="H9" s="31">
        <v>2.2000000000000002</v>
      </c>
      <c r="I9" s="30">
        <v>0.40620000000000001</v>
      </c>
      <c r="J9" s="28">
        <v>3.9540000000000002</v>
      </c>
      <c r="K9" s="31">
        <v>3.9430000000000001</v>
      </c>
      <c r="L9" s="27">
        <v>0.40600000000000003</v>
      </c>
      <c r="M9" s="28">
        <v>5.91</v>
      </c>
      <c r="N9" s="32">
        <v>5.8789999999999996</v>
      </c>
    </row>
    <row r="10" spans="2:36" ht="19" thickBot="1">
      <c r="B10" s="33">
        <v>0.5</v>
      </c>
      <c r="C10" s="34">
        <v>0.499</v>
      </c>
      <c r="D10" s="35">
        <v>1.4999999999999999E-2</v>
      </c>
      <c r="E10" s="36">
        <v>1.0999999999999999E-2</v>
      </c>
      <c r="F10" s="37">
        <v>0.50460000000000005</v>
      </c>
      <c r="G10" s="35">
        <v>2.222</v>
      </c>
      <c r="H10" s="38">
        <v>2.1920000000000002</v>
      </c>
      <c r="I10" s="37">
        <v>0.50770000000000004</v>
      </c>
      <c r="J10" s="35">
        <v>3.9390000000000001</v>
      </c>
      <c r="K10" s="38">
        <v>3.931</v>
      </c>
      <c r="L10" s="34">
        <v>0.496</v>
      </c>
      <c r="M10" s="35">
        <v>5.8520000000000003</v>
      </c>
      <c r="N10" s="39">
        <v>5.8390000000000004</v>
      </c>
    </row>
    <row r="11" spans="2:36" ht="19" thickTop="1"/>
    <row r="13" spans="2:36" ht="19" thickBot="1">
      <c r="B13" t="s">
        <v>33</v>
      </c>
    </row>
    <row r="14" spans="2:36" ht="19" thickTop="1">
      <c r="B14" s="5"/>
      <c r="C14" s="6" t="s">
        <v>34</v>
      </c>
      <c r="D14" s="8"/>
      <c r="E14" s="9" t="s">
        <v>35</v>
      </c>
      <c r="F14" s="10"/>
      <c r="G14" s="6" t="s">
        <v>36</v>
      </c>
      <c r="H14" s="11"/>
      <c r="J14" t="str">
        <f>C14</f>
        <v>Vcb=0[V]</v>
      </c>
      <c r="K14" t="str">
        <f>E14</f>
        <v>Vcb=2</v>
      </c>
      <c r="L14" t="str">
        <f>G14</f>
        <v>Vcb=4</v>
      </c>
    </row>
    <row r="15" spans="2:36" ht="19" thickBot="1">
      <c r="B15" s="12" t="s">
        <v>13</v>
      </c>
      <c r="C15" s="13" t="s">
        <v>14</v>
      </c>
      <c r="D15" s="15" t="s">
        <v>32</v>
      </c>
      <c r="E15" s="16" t="s">
        <v>16</v>
      </c>
      <c r="F15" s="17" t="s">
        <v>32</v>
      </c>
      <c r="G15" s="13" t="s">
        <v>16</v>
      </c>
      <c r="H15" s="18" t="s">
        <v>32</v>
      </c>
      <c r="J15" t="s">
        <v>49</v>
      </c>
      <c r="K15" t="s">
        <v>49</v>
      </c>
      <c r="L15" t="s">
        <v>49</v>
      </c>
      <c r="Z15" s="138" t="s">
        <v>51</v>
      </c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</row>
    <row r="16" spans="2:36" ht="19" thickTop="1">
      <c r="B16" s="40">
        <v>0</v>
      </c>
      <c r="C16" s="20">
        <f>J16*10^-3</f>
        <v>5.0600000000000005E-4</v>
      </c>
      <c r="D16" s="22">
        <v>1.4999999999999999E-2</v>
      </c>
      <c r="E16" s="23">
        <f>K16*10^(-3)</f>
        <v>4.0100000000000004E-4</v>
      </c>
      <c r="F16" s="24">
        <v>1.7999999999999999E-2</v>
      </c>
      <c r="G16" s="20">
        <f>L16*10^-3</f>
        <v>1.7199999999999998E-4</v>
      </c>
      <c r="H16" s="25">
        <v>1.6E-2</v>
      </c>
      <c r="J16">
        <v>0.50600000000000001</v>
      </c>
      <c r="K16">
        <v>0.40100000000000002</v>
      </c>
      <c r="L16">
        <v>0.17199999999999999</v>
      </c>
      <c r="Z16" s="139"/>
      <c r="AA16" s="140" t="s">
        <v>34</v>
      </c>
      <c r="AB16" s="141"/>
      <c r="AC16" s="142" t="s">
        <v>35</v>
      </c>
      <c r="AD16" s="143"/>
      <c r="AE16" s="140" t="s">
        <v>36</v>
      </c>
      <c r="AF16" s="144"/>
      <c r="AG16" s="138"/>
      <c r="AH16" s="138" t="str">
        <f>AA16</f>
        <v>Vcb=0[V]</v>
      </c>
      <c r="AI16" s="138" t="str">
        <f>AC16</f>
        <v>Vcb=2</v>
      </c>
      <c r="AJ16" s="138" t="str">
        <f>AE16</f>
        <v>Vcb=4</v>
      </c>
    </row>
    <row r="17" spans="2:36" ht="19" thickBot="1">
      <c r="B17" s="41" t="s">
        <v>18</v>
      </c>
      <c r="C17" s="20"/>
      <c r="D17" s="29"/>
      <c r="E17" s="23"/>
      <c r="F17" s="31"/>
      <c r="G17" s="137"/>
      <c r="H17" s="32"/>
      <c r="Z17" s="145" t="s">
        <v>13</v>
      </c>
      <c r="AA17" s="146" t="s">
        <v>14</v>
      </c>
      <c r="AB17" s="147" t="s">
        <v>32</v>
      </c>
      <c r="AC17" s="148" t="s">
        <v>16</v>
      </c>
      <c r="AD17" s="149" t="s">
        <v>32</v>
      </c>
      <c r="AE17" s="146" t="s">
        <v>16</v>
      </c>
      <c r="AF17" s="150" t="s">
        <v>32</v>
      </c>
      <c r="AG17" s="138"/>
      <c r="AH17" s="138" t="s">
        <v>49</v>
      </c>
      <c r="AI17" s="138" t="s">
        <v>49</v>
      </c>
      <c r="AJ17" s="138" t="s">
        <v>49</v>
      </c>
    </row>
    <row r="18" spans="2:36">
      <c r="B18" s="42">
        <v>0.4</v>
      </c>
      <c r="C18" s="20">
        <f>J18*10^-3</f>
        <v>0.40456000000000003</v>
      </c>
      <c r="D18" s="29">
        <v>1.4999999999999999E-2</v>
      </c>
      <c r="E18" s="23">
        <f t="shared" ref="E18:E34" si="0">K18*10^(-3)</f>
        <v>0.40217000000000003</v>
      </c>
      <c r="F18" s="31">
        <v>1.7999999999999999E-2</v>
      </c>
      <c r="G18" s="137">
        <f t="shared" ref="G18:G34" si="1">L18*10^-3</f>
        <v>0.4037</v>
      </c>
      <c r="H18" s="32">
        <v>1.7000000000000001E-2</v>
      </c>
      <c r="J18">
        <v>404.56</v>
      </c>
      <c r="K18">
        <v>402.17</v>
      </c>
      <c r="L18">
        <v>403.7</v>
      </c>
      <c r="Z18" s="151">
        <v>0</v>
      </c>
      <c r="AA18" s="152">
        <f>AH18*10^-3</f>
        <v>5.0600000000000005E-4</v>
      </c>
      <c r="AB18" s="153">
        <v>1.4999999999999999E-2</v>
      </c>
      <c r="AC18" s="154">
        <f>AI18*10^(-3)</f>
        <v>4.2000000000000002E-4</v>
      </c>
      <c r="AD18" s="155">
        <v>1.4999999999999999E-2</v>
      </c>
      <c r="AE18" s="152">
        <f>AJ18*10^-3</f>
        <v>3.4300000000000004E-4</v>
      </c>
      <c r="AF18" s="156">
        <v>1.6E-2</v>
      </c>
      <c r="AG18" s="138"/>
      <c r="AH18" s="138">
        <v>0.50600000000000001</v>
      </c>
      <c r="AI18" s="138">
        <v>0.42</v>
      </c>
      <c r="AJ18" s="138">
        <v>0.34300000000000003</v>
      </c>
    </row>
    <row r="19" spans="2:36">
      <c r="B19" s="42">
        <v>0.42499999999999999</v>
      </c>
      <c r="C19" s="20">
        <f t="shared" ref="C19:C33" si="2">J19*10^-3</f>
        <v>0.42442000000000002</v>
      </c>
      <c r="D19" s="29">
        <v>1.6E-2</v>
      </c>
      <c r="E19" s="23">
        <f t="shared" si="0"/>
        <v>0.42712</v>
      </c>
      <c r="F19" s="31">
        <v>1.7999999999999999E-2</v>
      </c>
      <c r="G19" s="137">
        <f t="shared" si="1"/>
        <v>0.42599000000000004</v>
      </c>
      <c r="H19" s="32">
        <v>1.7000000000000001E-2</v>
      </c>
      <c r="J19">
        <v>424.42</v>
      </c>
      <c r="K19">
        <v>427.12</v>
      </c>
      <c r="L19">
        <v>425.99</v>
      </c>
      <c r="Z19" s="157" t="s">
        <v>18</v>
      </c>
      <c r="AA19" s="152"/>
      <c r="AB19" s="158"/>
      <c r="AC19" s="154"/>
      <c r="AD19" s="159"/>
      <c r="AE19" s="152"/>
      <c r="AF19" s="160"/>
      <c r="AG19" s="138"/>
      <c r="AH19" s="138"/>
      <c r="AI19" s="138"/>
      <c r="AJ19" s="138"/>
    </row>
    <row r="20" spans="2:36">
      <c r="B20" s="42">
        <v>0.45</v>
      </c>
      <c r="C20" s="20">
        <f t="shared" si="2"/>
        <v>0.45066000000000006</v>
      </c>
      <c r="D20" s="29">
        <v>1.6E-2</v>
      </c>
      <c r="E20" s="23">
        <f t="shared" si="0"/>
        <v>0.44951000000000002</v>
      </c>
      <c r="F20" s="31">
        <v>1.7000000000000001E-2</v>
      </c>
      <c r="G20" s="137">
        <f t="shared" si="1"/>
        <v>0.45024999999999998</v>
      </c>
      <c r="H20" s="32">
        <v>1.9E-2</v>
      </c>
      <c r="J20">
        <v>450.66</v>
      </c>
      <c r="K20">
        <v>449.51</v>
      </c>
      <c r="L20">
        <v>450.25</v>
      </c>
      <c r="Z20" s="161">
        <v>0.4</v>
      </c>
      <c r="AA20" s="152">
        <f>AH20*10^-3</f>
        <v>0.40456000000000003</v>
      </c>
      <c r="AB20" s="158">
        <v>1.4999999999999999E-2</v>
      </c>
      <c r="AC20" s="154">
        <f t="shared" ref="AC20:AC38" si="3">AI20*10^(-3)</f>
        <v>0.40141000000000004</v>
      </c>
      <c r="AD20" s="159">
        <v>1.4999999999999999E-2</v>
      </c>
      <c r="AE20" s="152">
        <f t="shared" ref="AE20:AE38" si="4">AJ20*10^-3</f>
        <v>0.40506999999999999</v>
      </c>
      <c r="AF20" s="160">
        <v>1.6E-2</v>
      </c>
      <c r="AG20" s="138"/>
      <c r="AH20" s="138">
        <v>404.56</v>
      </c>
      <c r="AI20" s="138">
        <v>401.41</v>
      </c>
      <c r="AJ20" s="138">
        <v>405.07</v>
      </c>
    </row>
    <row r="21" spans="2:36">
      <c r="B21" s="42">
        <v>0.47499999999999998</v>
      </c>
      <c r="C21" s="20">
        <f t="shared" si="2"/>
        <v>0.47517000000000004</v>
      </c>
      <c r="D21" s="29">
        <v>1.7000000000000001E-2</v>
      </c>
      <c r="E21" s="23">
        <f t="shared" si="0"/>
        <v>0.47688999999999998</v>
      </c>
      <c r="F21" s="31">
        <v>0.02</v>
      </c>
      <c r="G21" s="137">
        <f t="shared" si="1"/>
        <v>0.47533999999999998</v>
      </c>
      <c r="H21" s="32">
        <v>0.02</v>
      </c>
      <c r="J21">
        <v>475.17</v>
      </c>
      <c r="K21">
        <v>476.89</v>
      </c>
      <c r="L21">
        <v>475.34</v>
      </c>
      <c r="Z21" s="161">
        <v>0.42499999999999999</v>
      </c>
      <c r="AA21" s="152">
        <f t="shared" ref="AA21:AA35" si="5">AH21*10^-3</f>
        <v>0.42442000000000002</v>
      </c>
      <c r="AB21" s="158">
        <v>1.6E-2</v>
      </c>
      <c r="AC21" s="154">
        <f t="shared" si="3"/>
        <v>0.42425000000000002</v>
      </c>
      <c r="AD21" s="159">
        <v>1.6E-2</v>
      </c>
      <c r="AE21" s="152">
        <f t="shared" si="4"/>
        <v>0.42458999999999997</v>
      </c>
      <c r="AF21" s="160">
        <v>1.7000000000000001E-2</v>
      </c>
      <c r="AG21" s="138"/>
      <c r="AH21" s="138">
        <v>424.42</v>
      </c>
      <c r="AI21" s="138">
        <v>424.25</v>
      </c>
      <c r="AJ21" s="138">
        <v>424.59</v>
      </c>
    </row>
    <row r="22" spans="2:36">
      <c r="B22" s="42">
        <v>0.5</v>
      </c>
      <c r="C22" s="20">
        <f t="shared" si="2"/>
        <v>0.50092000000000003</v>
      </c>
      <c r="D22" s="29">
        <v>1.9E-2</v>
      </c>
      <c r="E22" s="23">
        <f t="shared" si="0"/>
        <v>0.50094000000000005</v>
      </c>
      <c r="F22" s="31">
        <v>2.1000000000000001E-2</v>
      </c>
      <c r="G22" s="137">
        <f t="shared" si="1"/>
        <v>0.50104000000000004</v>
      </c>
      <c r="H22" s="32">
        <v>2.1999999999999999E-2</v>
      </c>
      <c r="J22">
        <v>500.92</v>
      </c>
      <c r="K22">
        <v>500.94</v>
      </c>
      <c r="L22">
        <v>501.04</v>
      </c>
      <c r="Z22" s="161">
        <v>0.45</v>
      </c>
      <c r="AA22" s="152">
        <f t="shared" si="5"/>
        <v>0.45066000000000006</v>
      </c>
      <c r="AB22" s="158">
        <v>1.6E-2</v>
      </c>
      <c r="AC22" s="154">
        <f t="shared" si="3"/>
        <v>0.45095000000000002</v>
      </c>
      <c r="AD22" s="159">
        <v>1.7000000000000001E-2</v>
      </c>
      <c r="AE22" s="152">
        <f t="shared" si="4"/>
        <v>0.45157999999999998</v>
      </c>
      <c r="AF22" s="160">
        <v>1.7000000000000001E-2</v>
      </c>
      <c r="AG22" s="138"/>
      <c r="AH22" s="138">
        <v>450.66</v>
      </c>
      <c r="AI22" s="138">
        <v>450.95</v>
      </c>
      <c r="AJ22" s="138">
        <v>451.58</v>
      </c>
    </row>
    <row r="23" spans="2:36">
      <c r="B23" s="42">
        <v>0.52500000000000002</v>
      </c>
      <c r="C23" s="20">
        <f t="shared" si="2"/>
        <v>0.52495000000000003</v>
      </c>
      <c r="D23" s="29">
        <v>2.4E-2</v>
      </c>
      <c r="E23" s="23">
        <f t="shared" si="0"/>
        <v>0.52528999999999992</v>
      </c>
      <c r="F23" s="31">
        <v>2.8000000000000001E-2</v>
      </c>
      <c r="G23" s="137">
        <f t="shared" si="1"/>
        <v>0.52511000000000008</v>
      </c>
      <c r="H23" s="32">
        <v>2.8000000000000001E-2</v>
      </c>
      <c r="J23">
        <v>524.95000000000005</v>
      </c>
      <c r="K23">
        <v>525.29</v>
      </c>
      <c r="L23">
        <v>525.11</v>
      </c>
      <c r="Z23" s="161">
        <v>0.47499999999999998</v>
      </c>
      <c r="AA23" s="152">
        <f t="shared" si="5"/>
        <v>0.47517000000000004</v>
      </c>
      <c r="AB23" s="158">
        <v>1.7000000000000001E-2</v>
      </c>
      <c r="AC23" s="154">
        <f t="shared" si="3"/>
        <v>0.47347000000000006</v>
      </c>
      <c r="AD23" s="159">
        <v>1.7000000000000001E-2</v>
      </c>
      <c r="AE23" s="152">
        <f t="shared" si="4"/>
        <v>0.47350000000000003</v>
      </c>
      <c r="AF23" s="160">
        <v>1.7999999999999999E-2</v>
      </c>
      <c r="AG23" s="138"/>
      <c r="AH23" s="138">
        <v>475.17</v>
      </c>
      <c r="AI23" s="138">
        <v>473.47</v>
      </c>
      <c r="AJ23" s="138">
        <v>473.5</v>
      </c>
    </row>
    <row r="24" spans="2:36">
      <c r="B24" s="42">
        <v>0.55000000000000004</v>
      </c>
      <c r="C24" s="20">
        <f t="shared" si="2"/>
        <v>0.55074000000000001</v>
      </c>
      <c r="D24" s="29">
        <v>3.9E-2</v>
      </c>
      <c r="E24" s="23">
        <f t="shared" si="0"/>
        <v>0.55096000000000001</v>
      </c>
      <c r="F24" s="31">
        <v>4.3999999999999997E-2</v>
      </c>
      <c r="G24" s="137">
        <f t="shared" si="1"/>
        <v>0.55085000000000006</v>
      </c>
      <c r="H24" s="32">
        <v>4.5999999999999999E-2</v>
      </c>
      <c r="J24">
        <v>550.74</v>
      </c>
      <c r="K24">
        <v>550.96</v>
      </c>
      <c r="L24">
        <v>550.85</v>
      </c>
      <c r="Z24" s="161">
        <v>0.5</v>
      </c>
      <c r="AA24" s="152">
        <f t="shared" si="5"/>
        <v>0.50092000000000003</v>
      </c>
      <c r="AB24" s="158">
        <v>1.9E-2</v>
      </c>
      <c r="AC24" s="154">
        <f t="shared" si="3"/>
        <v>0.50253999999999999</v>
      </c>
      <c r="AD24" s="159">
        <v>1.9E-2</v>
      </c>
      <c r="AE24" s="152">
        <f t="shared" si="4"/>
        <v>0.50097000000000003</v>
      </c>
      <c r="AF24" s="160">
        <v>2.1000000000000001E-2</v>
      </c>
      <c r="AG24" s="138"/>
      <c r="AH24" s="138">
        <v>500.92</v>
      </c>
      <c r="AI24" s="138">
        <v>502.54</v>
      </c>
      <c r="AJ24" s="138">
        <v>500.97</v>
      </c>
    </row>
    <row r="25" spans="2:36">
      <c r="B25" s="42">
        <v>0.57499999999999996</v>
      </c>
      <c r="C25" s="20">
        <f t="shared" si="2"/>
        <v>0.57516</v>
      </c>
      <c r="D25" s="29">
        <v>7.4999999999999997E-2</v>
      </c>
      <c r="E25" s="23">
        <f t="shared" si="0"/>
        <v>0.57467000000000001</v>
      </c>
      <c r="F25" s="31">
        <v>8.1000000000000003E-2</v>
      </c>
      <c r="G25" s="137">
        <f t="shared" si="1"/>
        <v>0.57540999999999998</v>
      </c>
      <c r="H25" s="32">
        <v>0.09</v>
      </c>
      <c r="J25">
        <v>575.16</v>
      </c>
      <c r="K25">
        <v>574.66999999999996</v>
      </c>
      <c r="L25">
        <v>575.41</v>
      </c>
      <c r="Z25" s="161">
        <v>0.52500000000000002</v>
      </c>
      <c r="AA25" s="152">
        <f t="shared" si="5"/>
        <v>0.52495000000000003</v>
      </c>
      <c r="AB25" s="158">
        <v>2.4E-2</v>
      </c>
      <c r="AC25" s="154">
        <f t="shared" si="3"/>
        <v>0.52515999999999996</v>
      </c>
      <c r="AD25" s="159">
        <v>2.5999999999999999E-2</v>
      </c>
      <c r="AE25" s="152">
        <f t="shared" si="4"/>
        <v>0.52505000000000002</v>
      </c>
      <c r="AF25" s="160">
        <v>2.7E-2</v>
      </c>
      <c r="AG25" s="138"/>
      <c r="AH25" s="138">
        <v>524.95000000000005</v>
      </c>
      <c r="AI25" s="138">
        <v>525.16</v>
      </c>
      <c r="AJ25" s="138">
        <v>525.04999999999995</v>
      </c>
    </row>
    <row r="26" spans="2:36">
      <c r="B26" s="42">
        <v>0.6</v>
      </c>
      <c r="C26" s="20">
        <f t="shared" si="2"/>
        <v>0.60074000000000005</v>
      </c>
      <c r="D26" s="29">
        <v>0.17499999999999999</v>
      </c>
      <c r="E26" s="23">
        <f t="shared" si="0"/>
        <v>0.60136000000000001</v>
      </c>
      <c r="F26" s="31">
        <v>0.19400000000000001</v>
      </c>
      <c r="G26" s="137">
        <f t="shared" si="1"/>
        <v>0.60087000000000002</v>
      </c>
      <c r="H26" s="32">
        <v>0.20499999999999999</v>
      </c>
      <c r="J26">
        <v>600.74</v>
      </c>
      <c r="K26">
        <v>601.36</v>
      </c>
      <c r="L26">
        <v>600.87</v>
      </c>
      <c r="Z26" s="161">
        <v>0.55000000000000004</v>
      </c>
      <c r="AA26" s="152">
        <f t="shared" si="5"/>
        <v>0.55074000000000001</v>
      </c>
      <c r="AB26" s="158">
        <v>3.9E-2</v>
      </c>
      <c r="AC26" s="154">
        <f t="shared" si="3"/>
        <v>0.55298000000000003</v>
      </c>
      <c r="AD26" s="159">
        <v>4.1000000000000002E-2</v>
      </c>
      <c r="AE26" s="152">
        <f t="shared" si="4"/>
        <v>0.55103999999999997</v>
      </c>
      <c r="AF26" s="160">
        <v>4.2999999999999997E-2</v>
      </c>
      <c r="AG26" s="138"/>
      <c r="AH26" s="138">
        <v>550.74</v>
      </c>
      <c r="AI26" s="138">
        <v>552.98</v>
      </c>
      <c r="AJ26" s="138">
        <v>551.04</v>
      </c>
    </row>
    <row r="27" spans="2:36">
      <c r="B27" s="42">
        <v>0.625</v>
      </c>
      <c r="C27" s="20">
        <f t="shared" si="2"/>
        <v>0.62539</v>
      </c>
      <c r="D27" s="29">
        <v>0.42499999999999999</v>
      </c>
      <c r="E27" s="23">
        <f t="shared" si="0"/>
        <v>0.62514000000000003</v>
      </c>
      <c r="F27" s="31">
        <v>0.45100000000000001</v>
      </c>
      <c r="G27" s="137">
        <f t="shared" si="1"/>
        <v>0.62624000000000002</v>
      </c>
      <c r="H27" s="32">
        <v>0.51900000000000002</v>
      </c>
      <c r="J27">
        <v>625.39</v>
      </c>
      <c r="K27">
        <v>625.14</v>
      </c>
      <c r="L27">
        <v>626.24</v>
      </c>
      <c r="Z27" s="161">
        <v>0.57499999999999996</v>
      </c>
      <c r="AA27" s="152">
        <f t="shared" si="5"/>
        <v>0.57516</v>
      </c>
      <c r="AB27" s="158">
        <v>7.4999999999999997E-2</v>
      </c>
      <c r="AC27" s="154">
        <f t="shared" si="3"/>
        <v>0.57665999999999995</v>
      </c>
      <c r="AD27" s="159">
        <v>8.3000000000000004E-2</v>
      </c>
      <c r="AE27" s="152">
        <f t="shared" si="4"/>
        <v>0.57480999999999993</v>
      </c>
      <c r="AF27" s="160">
        <v>0.08</v>
      </c>
      <c r="AG27" s="138"/>
      <c r="AH27" s="138">
        <v>575.16</v>
      </c>
      <c r="AI27" s="138">
        <v>576.66</v>
      </c>
      <c r="AJ27" s="138">
        <v>574.80999999999995</v>
      </c>
    </row>
    <row r="28" spans="2:36">
      <c r="B28" s="42">
        <v>0.65</v>
      </c>
      <c r="C28" s="20">
        <f t="shared" si="2"/>
        <v>0.65024999999999999</v>
      </c>
      <c r="D28" s="29">
        <v>1.0629999999999999</v>
      </c>
      <c r="E28" s="23">
        <f t="shared" si="0"/>
        <v>0.65054000000000001</v>
      </c>
      <c r="F28" s="31">
        <v>1.1499999999999999</v>
      </c>
      <c r="G28" s="137">
        <f t="shared" si="1"/>
        <v>0.65049999999999997</v>
      </c>
      <c r="H28" s="32">
        <v>1.236</v>
      </c>
      <c r="J28">
        <v>650.25</v>
      </c>
      <c r="K28">
        <v>650.54</v>
      </c>
      <c r="L28">
        <v>650.5</v>
      </c>
      <c r="Z28" s="161">
        <v>0.6</v>
      </c>
      <c r="AA28" s="152">
        <f t="shared" si="5"/>
        <v>0.60074000000000005</v>
      </c>
      <c r="AB28" s="158">
        <v>0.17499999999999999</v>
      </c>
      <c r="AC28" s="154">
        <f t="shared" si="3"/>
        <v>0.60347000000000006</v>
      </c>
      <c r="AD28" s="159">
        <v>0.20100000000000001</v>
      </c>
      <c r="AE28" s="152">
        <f t="shared" si="4"/>
        <v>0.60216999999999998</v>
      </c>
      <c r="AF28" s="160">
        <v>0.19700000000000001</v>
      </c>
      <c r="AG28" s="138"/>
      <c r="AH28" s="138">
        <v>600.74</v>
      </c>
      <c r="AI28" s="138">
        <v>603.47</v>
      </c>
      <c r="AJ28" s="138">
        <v>602.16999999999996</v>
      </c>
    </row>
    <row r="29" spans="2:36">
      <c r="B29" s="42">
        <v>0.67500000000000004</v>
      </c>
      <c r="C29" s="20">
        <f t="shared" si="2"/>
        <v>0.67497000000000007</v>
      </c>
      <c r="D29" s="29">
        <v>2.3639999999999999</v>
      </c>
      <c r="E29" s="23">
        <f t="shared" si="0"/>
        <v>0.67482000000000009</v>
      </c>
      <c r="F29" s="31">
        <v>2.76</v>
      </c>
      <c r="G29" s="137">
        <f t="shared" si="1"/>
        <v>0.67664000000000002</v>
      </c>
      <c r="H29" s="32">
        <v>3.22</v>
      </c>
      <c r="J29">
        <v>674.97</v>
      </c>
      <c r="K29">
        <v>674.82</v>
      </c>
      <c r="L29">
        <v>676.64</v>
      </c>
      <c r="Z29" s="161">
        <v>0.625</v>
      </c>
      <c r="AA29" s="152">
        <f t="shared" si="5"/>
        <v>0.62539</v>
      </c>
      <c r="AB29" s="158">
        <v>0.42499999999999999</v>
      </c>
      <c r="AC29" s="154">
        <f t="shared" si="3"/>
        <v>0.62651999999999997</v>
      </c>
      <c r="AD29" s="159">
        <v>0.46300000000000002</v>
      </c>
      <c r="AE29" s="152">
        <f t="shared" si="4"/>
        <v>0.62519000000000002</v>
      </c>
      <c r="AF29" s="160">
        <v>0.45300000000000001</v>
      </c>
      <c r="AG29" s="138"/>
      <c r="AH29" s="138">
        <v>625.39</v>
      </c>
      <c r="AI29" s="138">
        <v>626.52</v>
      </c>
      <c r="AJ29" s="138">
        <v>625.19000000000005</v>
      </c>
    </row>
    <row r="30" spans="2:36">
      <c r="B30" s="42">
        <v>0.7</v>
      </c>
      <c r="C30" s="20">
        <f t="shared" si="2"/>
        <v>0.69991999999999999</v>
      </c>
      <c r="D30" s="29">
        <v>8.5879999999999992</v>
      </c>
      <c r="E30" s="23">
        <f t="shared" si="0"/>
        <v>0.70162999999999998</v>
      </c>
      <c r="F30" s="31">
        <v>8.59</v>
      </c>
      <c r="G30" s="137">
        <f t="shared" si="1"/>
        <v>0.70034000000000007</v>
      </c>
      <c r="H30" s="32">
        <v>7.3239999999999998</v>
      </c>
      <c r="J30">
        <v>699.92</v>
      </c>
      <c r="K30">
        <v>701.63</v>
      </c>
      <c r="L30">
        <v>700.34</v>
      </c>
      <c r="Z30" s="161">
        <v>0.65</v>
      </c>
      <c r="AA30" s="152">
        <f t="shared" si="5"/>
        <v>0.65024999999999999</v>
      </c>
      <c r="AB30" s="158">
        <v>1.0629999999999999</v>
      </c>
      <c r="AC30" s="154">
        <f t="shared" si="3"/>
        <v>0.65185999999999999</v>
      </c>
      <c r="AD30" s="159">
        <v>1.1779999999999999</v>
      </c>
      <c r="AE30" s="152">
        <f t="shared" si="4"/>
        <v>0.65039000000000002</v>
      </c>
      <c r="AF30" s="160">
        <v>1.143</v>
      </c>
      <c r="AG30" s="138"/>
      <c r="AH30" s="138">
        <v>650.25</v>
      </c>
      <c r="AI30" s="138">
        <v>651.86</v>
      </c>
      <c r="AJ30" s="138">
        <v>650.39</v>
      </c>
    </row>
    <row r="31" spans="2:36">
      <c r="B31" s="42">
        <v>0.72499999999999998</v>
      </c>
      <c r="C31" s="20">
        <f t="shared" si="2"/>
        <v>0.72421000000000002</v>
      </c>
      <c r="D31" s="29">
        <v>14.375999999999999</v>
      </c>
      <c r="E31" s="23">
        <f t="shared" si="0"/>
        <v>0.72601000000000004</v>
      </c>
      <c r="F31" s="31">
        <v>14.771000000000001</v>
      </c>
      <c r="G31" s="137">
        <f t="shared" si="1"/>
        <v>0.72655999999999998</v>
      </c>
      <c r="H31" s="32">
        <v>21.443999999999999</v>
      </c>
      <c r="J31">
        <v>724.21</v>
      </c>
      <c r="K31">
        <v>726.01</v>
      </c>
      <c r="L31">
        <v>726.56</v>
      </c>
      <c r="Z31" s="161">
        <v>0.67500000000000004</v>
      </c>
      <c r="AA31" s="152">
        <f t="shared" si="5"/>
        <v>0.67497000000000007</v>
      </c>
      <c r="AB31" s="158">
        <v>2.3639999999999999</v>
      </c>
      <c r="AC31" s="154">
        <f t="shared" si="3"/>
        <v>0.67739000000000005</v>
      </c>
      <c r="AD31" s="159">
        <v>2.9540000000000002</v>
      </c>
      <c r="AE31" s="152">
        <f t="shared" si="4"/>
        <v>0.67413999999999996</v>
      </c>
      <c r="AF31" s="160">
        <v>2.798</v>
      </c>
      <c r="AG31" s="138"/>
      <c r="AH31" s="138">
        <v>674.97</v>
      </c>
      <c r="AI31" s="138">
        <v>677.39</v>
      </c>
      <c r="AJ31" s="138">
        <v>674.14</v>
      </c>
    </row>
    <row r="32" spans="2:36">
      <c r="B32" s="42">
        <v>0.75</v>
      </c>
      <c r="C32" s="20">
        <f t="shared" si="2"/>
        <v>0.75126000000000004</v>
      </c>
      <c r="D32" s="29">
        <v>23.966999999999999</v>
      </c>
      <c r="E32" s="23">
        <f t="shared" si="0"/>
        <v>0.75139</v>
      </c>
      <c r="F32" s="31">
        <v>29.542000000000002</v>
      </c>
      <c r="G32" s="137">
        <f t="shared" si="1"/>
        <v>0.74961</v>
      </c>
      <c r="H32" s="32">
        <v>31.934999999999999</v>
      </c>
      <c r="J32">
        <v>751.26</v>
      </c>
      <c r="K32">
        <v>751.39</v>
      </c>
      <c r="L32">
        <v>749.61</v>
      </c>
      <c r="Z32" s="161">
        <v>0.7</v>
      </c>
      <c r="AA32" s="152">
        <f t="shared" si="5"/>
        <v>0.69919000000000009</v>
      </c>
      <c r="AB32" s="158">
        <v>5.9029999999999996</v>
      </c>
      <c r="AC32" s="154">
        <f t="shared" si="3"/>
        <v>0.70911999999999997</v>
      </c>
      <c r="AD32" s="159">
        <v>10.074999999999999</v>
      </c>
      <c r="AE32" s="152">
        <f t="shared" si="4"/>
        <v>0.70822000000000007</v>
      </c>
      <c r="AF32" s="160">
        <v>14.404</v>
      </c>
      <c r="AG32" s="138"/>
      <c r="AH32" s="138">
        <v>699.19</v>
      </c>
      <c r="AI32" s="138">
        <v>709.12</v>
      </c>
      <c r="AJ32" s="138">
        <v>708.22</v>
      </c>
    </row>
    <row r="33" spans="2:36">
      <c r="B33" s="42">
        <v>0.77500000000000002</v>
      </c>
      <c r="C33" s="20">
        <f t="shared" si="2"/>
        <v>0.77479999999999993</v>
      </c>
      <c r="D33" s="29">
        <v>33.35</v>
      </c>
      <c r="E33" s="23">
        <f t="shared" si="0"/>
        <v>0.77554999999999996</v>
      </c>
      <c r="F33" s="31">
        <v>46.372</v>
      </c>
      <c r="G33" s="137">
        <f t="shared" si="1"/>
        <v>0.77405999999999997</v>
      </c>
      <c r="H33" s="32">
        <v>65.055000000000007</v>
      </c>
      <c r="J33">
        <v>774.8</v>
      </c>
      <c r="K33">
        <v>775.55</v>
      </c>
      <c r="L33">
        <v>774.06</v>
      </c>
      <c r="Z33" s="161">
        <v>0.72499999999999998</v>
      </c>
      <c r="AA33" s="152">
        <f t="shared" si="5"/>
        <v>0.72516000000000003</v>
      </c>
      <c r="AB33" s="158">
        <v>12.18</v>
      </c>
      <c r="AC33" s="154">
        <f t="shared" si="3"/>
        <v>0.72438999999999998</v>
      </c>
      <c r="AD33" s="159">
        <v>14.044</v>
      </c>
      <c r="AE33" s="152">
        <f t="shared" si="4"/>
        <v>0.72866999999999993</v>
      </c>
      <c r="AF33" s="160">
        <v>24.45</v>
      </c>
      <c r="AG33" s="138"/>
      <c r="AH33" s="138">
        <v>725.16</v>
      </c>
      <c r="AI33" s="138">
        <v>724.39</v>
      </c>
      <c r="AJ33" s="138">
        <v>728.67</v>
      </c>
    </row>
    <row r="34" spans="2:36">
      <c r="B34" s="42">
        <v>0.8</v>
      </c>
      <c r="C34" s="134">
        <f>J34*10^-3</f>
        <v>0.79967999999999995</v>
      </c>
      <c r="D34" s="31">
        <v>45.158000000000001</v>
      </c>
      <c r="E34" s="23">
        <f t="shared" si="0"/>
        <v>0.80347000000000002</v>
      </c>
      <c r="F34" s="31">
        <v>67.081999999999994</v>
      </c>
      <c r="G34" s="137">
        <f t="shared" si="1"/>
        <v>0.80254999999999999</v>
      </c>
      <c r="H34" s="32">
        <v>76.709000000000003</v>
      </c>
      <c r="J34">
        <v>799.68</v>
      </c>
      <c r="K34">
        <v>803.47</v>
      </c>
      <c r="L34">
        <v>802.55</v>
      </c>
      <c r="Z34" s="161">
        <v>0.75</v>
      </c>
      <c r="AA34" s="152">
        <f t="shared" si="5"/>
        <v>0.74963999999999997</v>
      </c>
      <c r="AB34" s="158">
        <v>21.146000000000001</v>
      </c>
      <c r="AC34" s="154">
        <f t="shared" si="3"/>
        <v>0.74890999999999996</v>
      </c>
      <c r="AD34" s="159">
        <v>21.431999999999999</v>
      </c>
      <c r="AE34" s="152">
        <f t="shared" si="4"/>
        <v>0.75108000000000008</v>
      </c>
      <c r="AF34" s="160">
        <v>21.867999999999999</v>
      </c>
      <c r="AG34" s="138"/>
      <c r="AH34" s="138">
        <v>749.64</v>
      </c>
      <c r="AI34" s="138">
        <v>748.91</v>
      </c>
      <c r="AJ34" s="138">
        <v>751.08</v>
      </c>
    </row>
    <row r="35" spans="2:36">
      <c r="B35" s="42"/>
      <c r="C35" s="77"/>
      <c r="D35" s="127"/>
      <c r="E35" s="23"/>
      <c r="F35" s="31"/>
      <c r="G35" s="137"/>
      <c r="H35" s="32"/>
      <c r="Z35" s="161">
        <v>0.77500000000000002</v>
      </c>
      <c r="AA35" s="152">
        <f t="shared" si="5"/>
        <v>0.77605999999999997</v>
      </c>
      <c r="AB35" s="158">
        <v>23.920999999999999</v>
      </c>
      <c r="AC35" s="154">
        <f t="shared" si="3"/>
        <v>0.77639999999999998</v>
      </c>
      <c r="AD35" s="159">
        <v>24.878</v>
      </c>
      <c r="AE35" s="152">
        <f t="shared" si="4"/>
        <v>0.77590999999999999</v>
      </c>
      <c r="AF35" s="160">
        <v>25.006</v>
      </c>
      <c r="AG35" s="138"/>
      <c r="AH35" s="138">
        <v>776.06</v>
      </c>
      <c r="AI35" s="138">
        <v>776.4</v>
      </c>
      <c r="AJ35" s="138">
        <v>775.91</v>
      </c>
    </row>
    <row r="36" spans="2:36" ht="19" thickBot="1">
      <c r="B36" s="43"/>
      <c r="C36" s="131"/>
      <c r="D36" s="132"/>
      <c r="E36" s="133"/>
      <c r="F36" s="38"/>
      <c r="G36" s="131"/>
      <c r="H36" s="39"/>
      <c r="Z36" s="161">
        <v>0.8</v>
      </c>
      <c r="AA36" s="162">
        <f>AH36*10^-3</f>
        <v>0.80230000000000001</v>
      </c>
      <c r="AB36" s="159">
        <v>29.817</v>
      </c>
      <c r="AC36" s="154">
        <f t="shared" si="3"/>
        <v>0.80235000000000001</v>
      </c>
      <c r="AD36" s="159">
        <v>30.962</v>
      </c>
      <c r="AE36" s="152">
        <f t="shared" si="4"/>
        <v>0.8003300000000001</v>
      </c>
      <c r="AF36" s="160">
        <v>30.777999999999999</v>
      </c>
      <c r="AG36" s="138"/>
      <c r="AH36" s="138">
        <v>802.3</v>
      </c>
      <c r="AI36" s="138">
        <v>802.35</v>
      </c>
      <c r="AJ36" s="138">
        <v>800.33</v>
      </c>
    </row>
    <row r="37" spans="2:36" ht="19" thickTop="1">
      <c r="Z37" s="161">
        <v>0.82499999999999996</v>
      </c>
      <c r="AA37" s="163">
        <f>AH37*10^-3</f>
        <v>0.82491000000000003</v>
      </c>
      <c r="AB37" s="164">
        <v>37.331000000000003</v>
      </c>
      <c r="AC37" s="154">
        <f t="shared" si="3"/>
        <v>0.82926999999999995</v>
      </c>
      <c r="AD37" s="159">
        <v>39.323999999999998</v>
      </c>
      <c r="AE37" s="152">
        <f t="shared" si="4"/>
        <v>0.82526999999999995</v>
      </c>
      <c r="AF37" s="160">
        <v>38.267000000000003</v>
      </c>
      <c r="AG37" s="138"/>
      <c r="AH37" s="138">
        <v>824.91</v>
      </c>
      <c r="AI37" s="138">
        <v>829.27</v>
      </c>
      <c r="AJ37" s="138">
        <v>825.27</v>
      </c>
    </row>
    <row r="38" spans="2:36" ht="19" thickBot="1">
      <c r="Z38" s="165">
        <v>0.85</v>
      </c>
      <c r="AA38" s="166">
        <f>AH38*10^-3</f>
        <v>0.85292000000000001</v>
      </c>
      <c r="AB38" s="167">
        <v>47.783000000000001</v>
      </c>
      <c r="AC38" s="168">
        <f t="shared" si="3"/>
        <v>0.85123000000000004</v>
      </c>
      <c r="AD38" s="169">
        <v>47.585000000000001</v>
      </c>
      <c r="AE38" s="166">
        <f t="shared" si="4"/>
        <v>0.85080999999999996</v>
      </c>
      <c r="AF38" s="170">
        <v>47.570999999999998</v>
      </c>
      <c r="AG38" s="138"/>
      <c r="AH38" s="138">
        <v>852.92</v>
      </c>
      <c r="AI38" s="138">
        <v>851.23</v>
      </c>
      <c r="AJ38" s="138">
        <v>850.81</v>
      </c>
    </row>
    <row r="39" spans="2:36" ht="19" thickTop="1"/>
    <row r="41" spans="2:36" ht="19" thickBot="1">
      <c r="B41" t="s">
        <v>37</v>
      </c>
    </row>
    <row r="42" spans="2:36" ht="20" thickTop="1" thickBot="1">
      <c r="B42" s="44"/>
      <c r="C42" s="45" t="s">
        <v>32</v>
      </c>
      <c r="D42" s="46" t="s">
        <v>7</v>
      </c>
      <c r="E42" s="47"/>
    </row>
    <row r="43" spans="2:36">
      <c r="B43" s="48" t="s">
        <v>27</v>
      </c>
      <c r="C43" s="21">
        <f>G5</f>
        <v>2.1070000000000002</v>
      </c>
      <c r="D43" s="22">
        <f>H5</f>
        <v>2.1349999999999998</v>
      </c>
      <c r="E43" s="47"/>
    </row>
    <row r="44" spans="2:36">
      <c r="B44" s="48"/>
      <c r="C44" s="28">
        <f t="shared" ref="C44:D48" si="6">G6</f>
        <v>2.1840000000000002</v>
      </c>
      <c r="D44" s="29">
        <f t="shared" si="6"/>
        <v>2.1309999999999998</v>
      </c>
      <c r="E44" s="47"/>
    </row>
    <row r="45" spans="2:36">
      <c r="B45" s="48"/>
      <c r="C45" s="28">
        <f t="shared" si="6"/>
        <v>2.1589999999999998</v>
      </c>
      <c r="D45" s="29">
        <f t="shared" si="6"/>
        <v>2.16</v>
      </c>
      <c r="E45" s="47"/>
    </row>
    <row r="46" spans="2:36">
      <c r="B46" s="48"/>
      <c r="C46" s="28">
        <f t="shared" si="6"/>
        <v>2.181</v>
      </c>
      <c r="D46" s="29">
        <f t="shared" si="6"/>
        <v>2.1640000000000001</v>
      </c>
      <c r="E46" s="47"/>
    </row>
    <row r="47" spans="2:36">
      <c r="B47" s="48"/>
      <c r="C47" s="28">
        <f t="shared" si="6"/>
        <v>2.202</v>
      </c>
      <c r="D47" s="29">
        <f t="shared" si="6"/>
        <v>2.2000000000000002</v>
      </c>
      <c r="E47" s="47"/>
    </row>
    <row r="48" spans="2:36">
      <c r="B48" s="48"/>
      <c r="C48" s="49">
        <f t="shared" si="6"/>
        <v>2.222</v>
      </c>
      <c r="D48" s="50">
        <f t="shared" si="6"/>
        <v>2.1920000000000002</v>
      </c>
      <c r="E48" s="47"/>
    </row>
    <row r="49" spans="2:11">
      <c r="B49" s="51" t="s">
        <v>28</v>
      </c>
      <c r="C49" s="52">
        <f t="shared" ref="C49:D54" si="7">J5</f>
        <v>3.968</v>
      </c>
      <c r="D49" s="53">
        <f t="shared" si="7"/>
        <v>3.9489999999999998</v>
      </c>
      <c r="E49" s="47"/>
    </row>
    <row r="50" spans="2:11">
      <c r="B50" s="48"/>
      <c r="C50" s="28">
        <f t="shared" si="7"/>
        <v>3.964</v>
      </c>
      <c r="D50" s="29">
        <f t="shared" si="7"/>
        <v>3.956</v>
      </c>
      <c r="E50" s="47"/>
    </row>
    <row r="51" spans="2:11">
      <c r="B51" s="48"/>
      <c r="C51" s="28">
        <f t="shared" si="7"/>
        <v>3.9420000000000002</v>
      </c>
      <c r="D51" s="29">
        <f t="shared" si="7"/>
        <v>3.9510000000000001</v>
      </c>
      <c r="E51" s="47"/>
    </row>
    <row r="52" spans="2:11">
      <c r="B52" s="48"/>
      <c r="C52" s="28">
        <f t="shared" si="7"/>
        <v>3.9609999999999999</v>
      </c>
      <c r="D52" s="29">
        <f t="shared" si="7"/>
        <v>3.9449999999999998</v>
      </c>
      <c r="E52" s="47"/>
    </row>
    <row r="53" spans="2:11">
      <c r="B53" s="48"/>
      <c r="C53" s="28">
        <f t="shared" si="7"/>
        <v>3.9540000000000002</v>
      </c>
      <c r="D53" s="29">
        <f t="shared" si="7"/>
        <v>3.9430000000000001</v>
      </c>
      <c r="E53" s="47"/>
    </row>
    <row r="54" spans="2:11">
      <c r="B54" s="54"/>
      <c r="C54" s="55">
        <f t="shared" si="7"/>
        <v>3.9390000000000001</v>
      </c>
      <c r="D54" s="56">
        <f t="shared" si="7"/>
        <v>3.931</v>
      </c>
      <c r="E54" s="47"/>
    </row>
    <row r="55" spans="2:11">
      <c r="B55" s="48" t="s">
        <v>29</v>
      </c>
      <c r="C55" s="21">
        <f t="shared" ref="C55:D60" si="8">M5</f>
        <v>5.9370000000000003</v>
      </c>
      <c r="D55" s="22">
        <f t="shared" si="8"/>
        <v>5.8650000000000002</v>
      </c>
      <c r="E55" s="47"/>
    </row>
    <row r="56" spans="2:11">
      <c r="B56" s="48"/>
      <c r="C56" s="28">
        <f t="shared" si="8"/>
        <v>5.9089999999999998</v>
      </c>
      <c r="D56" s="29">
        <f t="shared" si="8"/>
        <v>5.87</v>
      </c>
      <c r="E56" s="47"/>
    </row>
    <row r="57" spans="2:11">
      <c r="B57" s="48"/>
      <c r="C57" s="28">
        <f t="shared" si="8"/>
        <v>5.8780000000000001</v>
      </c>
      <c r="D57" s="29">
        <f t="shared" si="8"/>
        <v>5.8570000000000002</v>
      </c>
      <c r="E57" s="47"/>
      <c r="K57" s="2"/>
    </row>
    <row r="58" spans="2:11">
      <c r="B58" s="48"/>
      <c r="C58" s="28">
        <f t="shared" si="8"/>
        <v>5.8789999999999996</v>
      </c>
      <c r="D58" s="29">
        <f t="shared" si="8"/>
        <v>5.867</v>
      </c>
      <c r="E58" s="47"/>
      <c r="G58">
        <f t="shared" ref="G58:G75" si="9">C43*D43</f>
        <v>4.4984450000000002</v>
      </c>
      <c r="H58">
        <f t="shared" ref="H58:H75" si="10">C43*C43</f>
        <v>4.4394490000000006</v>
      </c>
    </row>
    <row r="59" spans="2:11">
      <c r="B59" s="48"/>
      <c r="C59" s="28">
        <f t="shared" si="8"/>
        <v>5.91</v>
      </c>
      <c r="D59" s="29">
        <f t="shared" si="8"/>
        <v>5.8789999999999996</v>
      </c>
      <c r="E59" s="47"/>
      <c r="G59">
        <f t="shared" si="9"/>
        <v>4.6541040000000002</v>
      </c>
      <c r="H59">
        <f t="shared" si="10"/>
        <v>4.7698560000000008</v>
      </c>
    </row>
    <row r="60" spans="2:11" ht="19" thickBot="1">
      <c r="B60" s="57"/>
      <c r="C60" s="35">
        <f t="shared" si="8"/>
        <v>5.8520000000000003</v>
      </c>
      <c r="D60" s="36">
        <f t="shared" si="8"/>
        <v>5.8390000000000004</v>
      </c>
      <c r="E60" s="47"/>
      <c r="G60">
        <f t="shared" si="9"/>
        <v>4.6634399999999996</v>
      </c>
      <c r="H60">
        <f t="shared" si="10"/>
        <v>4.6612809999999989</v>
      </c>
    </row>
    <row r="61" spans="2:11" ht="19" thickTop="1">
      <c r="G61">
        <f t="shared" si="9"/>
        <v>4.719684</v>
      </c>
      <c r="H61">
        <f t="shared" si="10"/>
        <v>4.756761</v>
      </c>
    </row>
    <row r="62" spans="2:11">
      <c r="C62" s="58" t="s">
        <v>38</v>
      </c>
      <c r="D62" s="59" cm="1">
        <f t="array" ref="D62:E62">LINEST(D43:D60,C43:C60)</f>
        <v>0.99457207866825181</v>
      </c>
      <c r="E62" s="4">
        <v>4.3118704579425682E-3</v>
      </c>
      <c r="G62">
        <f t="shared" si="9"/>
        <v>4.8444000000000003</v>
      </c>
      <c r="H62">
        <f t="shared" si="10"/>
        <v>4.8488039999999994</v>
      </c>
    </row>
    <row r="63" spans="2:11">
      <c r="C63" s="58" t="s">
        <v>39</v>
      </c>
      <c r="D63" s="60">
        <f>D62/(1-D62)</f>
        <v>183.23258903015955</v>
      </c>
      <c r="G63">
        <f t="shared" si="9"/>
        <v>4.8706240000000003</v>
      </c>
      <c r="H63">
        <f t="shared" si="10"/>
        <v>4.937284</v>
      </c>
    </row>
    <row r="64" spans="2:11">
      <c r="G64">
        <f t="shared" si="9"/>
        <v>15.669632</v>
      </c>
      <c r="H64">
        <f t="shared" si="10"/>
        <v>15.745023999999999</v>
      </c>
    </row>
    <row r="65" spans="3:8">
      <c r="G65">
        <f t="shared" si="9"/>
        <v>15.681583999999999</v>
      </c>
      <c r="H65">
        <f t="shared" si="10"/>
        <v>15.713296</v>
      </c>
    </row>
    <row r="66" spans="3:8">
      <c r="C66" t="s">
        <v>57</v>
      </c>
      <c r="D66">
        <v>18</v>
      </c>
      <c r="G66">
        <f t="shared" si="9"/>
        <v>15.574842</v>
      </c>
      <c r="H66">
        <f t="shared" si="10"/>
        <v>15.539364000000001</v>
      </c>
    </row>
    <row r="67" spans="3:8">
      <c r="C67" t="s">
        <v>58</v>
      </c>
      <c r="D67">
        <f>SUM(G58:G75)</f>
        <v>329.218323</v>
      </c>
      <c r="G67">
        <f t="shared" si="9"/>
        <v>15.626144999999999</v>
      </c>
      <c r="H67">
        <f t="shared" si="10"/>
        <v>15.689520999999999</v>
      </c>
    </row>
    <row r="68" spans="3:8">
      <c r="C68" t="s">
        <v>60</v>
      </c>
      <c r="D68">
        <f>SUM(C43:C60)</f>
        <v>72.147999999999996</v>
      </c>
      <c r="G68">
        <f t="shared" si="9"/>
        <v>15.590622000000002</v>
      </c>
      <c r="H68">
        <f t="shared" si="10"/>
        <v>15.634116000000001</v>
      </c>
    </row>
    <row r="69" spans="3:8">
      <c r="C69" t="s">
        <v>61</v>
      </c>
      <c r="D69">
        <f>SUM(D43:D60)</f>
        <v>71.833999999999989</v>
      </c>
      <c r="G69">
        <f t="shared" si="9"/>
        <v>15.484209</v>
      </c>
      <c r="H69">
        <f t="shared" si="10"/>
        <v>15.515721000000001</v>
      </c>
    </row>
    <row r="70" spans="3:8">
      <c r="C70" t="s">
        <v>62</v>
      </c>
      <c r="D70">
        <f>SUM(H58:H75)</f>
        <v>330.70225600000003</v>
      </c>
      <c r="G70">
        <f t="shared" si="9"/>
        <v>34.820505000000004</v>
      </c>
      <c r="H70">
        <f t="shared" si="10"/>
        <v>35.247969000000005</v>
      </c>
    </row>
    <row r="71" spans="3:8">
      <c r="C71" t="s">
        <v>63</v>
      </c>
      <c r="D71">
        <f>D68*D68</f>
        <v>5205.3339039999992</v>
      </c>
      <c r="G71">
        <f t="shared" si="9"/>
        <v>34.685830000000003</v>
      </c>
      <c r="H71">
        <f t="shared" si="10"/>
        <v>34.916280999999998</v>
      </c>
    </row>
    <row r="72" spans="3:8">
      <c r="G72">
        <f t="shared" si="9"/>
        <v>34.427446000000003</v>
      </c>
      <c r="H72">
        <f t="shared" si="10"/>
        <v>34.550884000000003</v>
      </c>
    </row>
    <row r="73" spans="3:8">
      <c r="C73" t="s">
        <v>64</v>
      </c>
      <c r="D73">
        <f>(D66*D67-D68*D69)/(D66*D70-D71)</f>
        <v>0.99457207866825137</v>
      </c>
      <c r="G73">
        <f t="shared" si="9"/>
        <v>34.492092999999997</v>
      </c>
      <c r="H73">
        <f t="shared" si="10"/>
        <v>34.562640999999992</v>
      </c>
    </row>
    <row r="74" spans="3:8">
      <c r="C74" t="s">
        <v>65</v>
      </c>
      <c r="D74">
        <f>(D68*D67-D69*D70)/(D71-D66*D70)</f>
        <v>4.311870457941497E-3</v>
      </c>
      <c r="G74">
        <f t="shared" si="9"/>
        <v>34.744889999999998</v>
      </c>
      <c r="H74">
        <f t="shared" si="10"/>
        <v>34.928100000000001</v>
      </c>
    </row>
    <row r="75" spans="3:8">
      <c r="G75">
        <f t="shared" si="9"/>
        <v>34.169828000000003</v>
      </c>
      <c r="H75">
        <f t="shared" si="10"/>
        <v>34.245904000000003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4.1 エミッタ接地 (a班)</vt:lpstr>
      <vt:lpstr>4.2 ベース接地 (b班)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新井友</dc:creator>
  <cp:keywords/>
  <dc:description/>
  <cp:lastModifiedBy>谷口　天眞</cp:lastModifiedBy>
  <cp:revision/>
  <dcterms:created xsi:type="dcterms:W3CDTF">2023-03-17T03:11:43Z</dcterms:created>
  <dcterms:modified xsi:type="dcterms:W3CDTF">2025-12-02T07:14:31Z</dcterms:modified>
  <cp:category/>
  <cp:contentStatus/>
</cp:coreProperties>
</file>